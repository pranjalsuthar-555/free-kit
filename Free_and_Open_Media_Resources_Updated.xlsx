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Pranjal\Documents\"/>
    </mc:Choice>
  </mc:AlternateContent>
  <xr:revisionPtr revIDLastSave="0" documentId="8_{24A4FCD2-FF68-49B2-9098-603C08179272}" xr6:coauthVersionLast="47" xr6:coauthVersionMax="47" xr10:uidLastSave="{00000000-0000-0000-0000-000000000000}"/>
  <bookViews>
    <workbookView xWindow="-108" yWindow="-108" windowWidth="23256" windowHeight="12456" xr2:uid="{00000000-000D-0000-FFFF-FFFF00000000}"/>
  </bookViews>
  <sheets>
    <sheet name="Open Media Resourc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9" i="1" l="1"/>
  <c r="B94" i="1"/>
  <c r="B90" i="1"/>
  <c r="B81" i="1"/>
  <c r="B80" i="1"/>
  <c r="B77" i="1"/>
  <c r="B76" i="1"/>
  <c r="B73" i="1"/>
  <c r="B72" i="1"/>
  <c r="B70" i="1"/>
  <c r="B69" i="1"/>
  <c r="B68" i="1"/>
  <c r="B67" i="1"/>
  <c r="B66" i="1"/>
  <c r="B65" i="1"/>
  <c r="B64" i="1"/>
  <c r="B62" i="1"/>
  <c r="B61" i="1"/>
  <c r="B60" i="1"/>
  <c r="B28" i="1"/>
  <c r="F1" i="1"/>
</calcChain>
</file>

<file path=xl/sharedStrings.xml><?xml version="1.0" encoding="utf-8"?>
<sst xmlns="http://schemas.openxmlformats.org/spreadsheetml/2006/main" count="426" uniqueCount="426">
  <si>
    <t>Open Media Resources</t>
  </si>
  <si>
    <t>Image, audio, video, and font resources available under open licenses, or in the public domain.</t>
  </si>
  <si>
    <t>Name</t>
  </si>
  <si>
    <t>Description</t>
  </si>
  <si>
    <t>URL</t>
  </si>
  <si>
    <t>Combined Collections</t>
  </si>
  <si>
    <t>Open Culture</t>
  </si>
  <si>
    <t>A website that comprehensively collects and curates open resources of all kinds.</t>
  </si>
  <si>
    <t>http://openculture.com</t>
  </si>
  <si>
    <t>Southern Connecticut State University</t>
  </si>
  <si>
    <t>Free web collections, books, journals, teaching materials, and other resources.</t>
  </si>
  <si>
    <t>http://libguides.southernct.edu/openaccess/avimages</t>
  </si>
  <si>
    <t>Stockio</t>
  </si>
  <si>
    <t>A collection of images, vectors, videos, fonts, and icons</t>
  </si>
  <si>
    <t>https://www.stockio.com</t>
  </si>
  <si>
    <t>UI Goodies</t>
  </si>
  <si>
    <t>A collection of web development resources for accessibility, animation, audio, color, content, icons, frameworks, patterns, and stock photography.</t>
  </si>
  <si>
    <t>http://uigoodies.com</t>
  </si>
  <si>
    <t>Smithsonian Open Access</t>
  </si>
  <si>
    <t>download, share, and reuse millions of the Smithsonian’s images—CC0 licensing. With new platforms and tools, you have easier access to more than 4.4 million 2D and 3D digital items from our collections—with many more to come. This includes images and data from across the Smithsonian’s 19 museums, nine research centers, libraries, archives, and the National Zoo.</t>
  </si>
  <si>
    <t>https://www.si.edu/openaccess/</t>
  </si>
  <si>
    <t>Unblast</t>
  </si>
  <si>
    <t>Selective free design resources to download. A growing library of free design resources made by the world's best designers. Unblast selects the best of the best, therefore putting in your hands quality useful resources such as mockups, fonts, templates, icons, graphics and saves you tons of searching hours.</t>
  </si>
  <si>
    <t>https://unblast.com</t>
  </si>
  <si>
    <t>USGS Fly Over the Seafloor of Northern Channel Islands</t>
  </si>
  <si>
    <t>A virtual “flight” over seafloor features in Southern California as if the water has been drained away. The flight travels around the features Footprint and Piggy Bank, just south of the northern Channel Islands in southern California. USGS researchers with the Pacific Coastal and Marine Science Center used multibeam sonar to map the seafloor as part of the project Seafloor Mapping: Channel Islands - USGS PCMSC. This video was generated from these data, along with surrounding publicly available bathymetric and topographic data.</t>
  </si>
  <si>
    <t>https://www.usgs.gov/media/videos/fly-over-seafloor-northern-channel-islands</t>
  </si>
  <si>
    <t>Images</t>
  </si>
  <si>
    <t>CC Search Project</t>
  </si>
  <si>
    <t>A CC image search</t>
  </si>
  <si>
    <t>https://search.creativecommons.org/</t>
  </si>
  <si>
    <t>Burst</t>
  </si>
  <si>
    <t>New photos are being added every week. These public domain pictures are free to use for personal or commercial purposes.</t>
  </si>
  <si>
    <t>https://burst.shopify.com/photos</t>
  </si>
  <si>
    <t>Deposit Photos</t>
  </si>
  <si>
    <t>Sends a selection of royalty-free graphics to their email subscribers. The graphics are free for that week only. This means that you can use them any time you want, but they're only free to "purchase" that week. The selection includes a stock photo, vector, video and editorial photo. The website also offer a low-cost plan that includes 30 hi-res photos and vectors each month.</t>
  </si>
  <si>
    <t>https://depositphotos.com/</t>
  </si>
  <si>
    <t>Getty Open Content Program</t>
  </si>
  <si>
    <t>The Getty Museum makes available, without charge, all available digital images to which the Getty holds the rights or that are in the public domain to be used for any purpose. No permission is required.  More info at http://www.getty.edu/about/whatwedo/opencontent.html</t>
  </si>
  <si>
    <t>http://search.getty.edu/gateway/search?q=&amp;cat=highlight&amp;f=%22Open+Content+Images%22&amp;rows=10&amp;srt=a&amp;dir=s&amp;pg=1</t>
  </si>
  <si>
    <t>Free Photos</t>
  </si>
  <si>
    <t>A free resource where you can find creative commons photos for your website or print projects.</t>
  </si>
  <si>
    <t>https://freephotos.cc/</t>
  </si>
  <si>
    <t>Map Library, University of Texas</t>
  </si>
  <si>
    <t>The PCL Map Collection includes more than 250,000 maps. Not all are online.</t>
  </si>
  <si>
    <t>https://legacy.lib.utexas.edu/maps/</t>
  </si>
  <si>
    <t>Metropolitan Museum of Art</t>
  </si>
  <si>
    <t>Images of artworks that its curators believe to be in the public domain available for unrestricted use (in accordance with the Creative Commons Zero designation).</t>
  </si>
  <si>
    <t>https://www.metmuseum.org/art/collection/search#!?searchField=All&amp;showOnly=openAccess&amp;sortBy=relevance&amp;offset=0&amp;pageSize=0</t>
  </si>
  <si>
    <t>Free for use</t>
  </si>
  <si>
    <t>https://mixkit.co/art/</t>
  </si>
  <si>
    <t>MockupWorld</t>
  </si>
  <si>
    <t>Free mockups of all sorts</t>
  </si>
  <si>
    <t>https://www.mockupworld.co/</t>
  </si>
  <si>
    <t>Mockuptime</t>
  </si>
  <si>
    <t>Free computer and mobile device mockups</t>
  </si>
  <si>
    <t>https://mockuptime.com/</t>
  </si>
  <si>
    <t>Moose</t>
  </si>
  <si>
    <t>Images free to use with a credit link</t>
  </si>
  <si>
    <t>https://photos.icons8.com</t>
  </si>
  <si>
    <t>Morguefile</t>
  </si>
  <si>
    <t>https://morguefile.com</t>
  </si>
  <si>
    <t>NASA</t>
  </si>
  <si>
    <t>A great resource for imagery related to aeronautics, astrophysics, Earth science, and, of course, spaceflight. Many of the images and most of the videos are in the public domain and therefore OK for commercial use. Do be careful to avoid assets with the NASA logo and astronauts or NASA employees; see the advertising guidelines for more information.</t>
  </si>
  <si>
    <t>https://images.nasa.gov/</t>
  </si>
  <si>
    <t>National Gallery of Art</t>
  </si>
  <si>
    <t xml:space="preserve">Some newer works are still under copyright, the distinction is clear—you can’t download copyrighted images, only those in the public domain. </t>
  </si>
  <si>
    <t>https://images.nga.gov/en/page/show_home_page.html</t>
  </si>
  <si>
    <t>Negative Space</t>
  </si>
  <si>
    <t>Images shared for use under Creative Commons CC0 licenses</t>
  </si>
  <si>
    <t>https://negativespace.co</t>
  </si>
  <si>
    <t>New York Public Library</t>
  </si>
  <si>
    <t xml:space="preserve">The New York Public Library has marked more than 180,000 items—illustrations, maps, photos, ephemera such as menus, manuscripts, and so much more—in its collection as copyright-free and put them online for our use. (It has also created a cool visualization tool that you can use to sort items by genre, century, and color.) </t>
  </si>
  <si>
    <t>https://www.nypl.org/research/collections/digital-collections/public-domain</t>
  </si>
  <si>
    <t>NOAA</t>
  </si>
  <si>
    <t>Most of its 32,000+ images are in the public domain. Visit the “Treasures of the Library" section for images from rare assets</t>
  </si>
  <si>
    <t>http://www.photolib.noaa.gov/index.html</t>
  </si>
  <si>
    <t>Old Book Illustrations</t>
  </si>
  <si>
    <t>This collection focuses on illustrations that are within the limits of the public domain.</t>
  </si>
  <si>
    <t>https://www.oldbookillustrations.com/</t>
  </si>
  <si>
    <t>Open Peeps</t>
  </si>
  <si>
    <t>Mix and match people - single,  crowds, dial your own groups. CC0</t>
  </si>
  <si>
    <t>https://www.openpeeps.com/</t>
  </si>
  <si>
    <t>Pexels</t>
  </si>
  <si>
    <t>A super collection of images</t>
  </si>
  <si>
    <t>http://pexels.com</t>
  </si>
  <si>
    <t>Pixaby</t>
  </si>
  <si>
    <t>Another really great collectiion of images</t>
  </si>
  <si>
    <t>http://pixabay.com</t>
  </si>
  <si>
    <t>Public.Work</t>
  </si>
  <si>
    <t>A collection of public domain images</t>
  </si>
  <si>
    <t>https://public.work</t>
  </si>
  <si>
    <t>Public Domain Image Archive</t>
  </si>
  <si>
    <t>A hand-picked highlights from hundreds of galleries, libraries, archives, and museums, the PDIA also functions as a database of images featured in the Public Domain Review</t>
  </si>
  <si>
    <t>https://pdimagearchive.org/</t>
  </si>
  <si>
    <t>Public Domain Review</t>
  </si>
  <si>
    <t>The focus is on works which have now fallen into the public domain, that vast commons of out-of-copyright material that everyone is free to enjoy, share, and build upon without restriction.</t>
  </si>
  <si>
    <t>http://publicdomainreview.org/</t>
  </si>
  <si>
    <t>RawPixel</t>
  </si>
  <si>
    <t>CC0 and other mixed license options</t>
  </si>
  <si>
    <t>https://www.rawpixel.com/</t>
  </si>
  <si>
    <t>Realgraphy</t>
  </si>
  <si>
    <t>A huge collection of unedited photos. These are great if you're interested in adding your own filters and edits.</t>
  </si>
  <si>
    <t>https://realgraphy.org/</t>
  </si>
  <si>
    <t>RightLight</t>
  </si>
  <si>
    <t>Licence free photos for commercial &amp; personal use.</t>
  </si>
  <si>
    <t>http://rightlight.nordwoodthemes.com/</t>
  </si>
  <si>
    <t>Rijks Museum, Rijksstudio</t>
  </si>
  <si>
    <t>In late 2012, the museum began a bold experiment by not only making it possible to download high-quality files of its collection, but by actively encouraging people to do so. Most of the collection is no longer under copyright, but if you stumble across the odd outlier, you’ll see a “not available to download” message.</t>
  </si>
  <si>
    <t>https://www.rijksmuseum.nl/en/rijksstudio</t>
  </si>
  <si>
    <t>Skuawk</t>
  </si>
  <si>
    <t>Public Domain photos</t>
  </si>
  <si>
    <t>http://skuawk.com</t>
  </si>
  <si>
    <t>SpaceX Photos on Flickr</t>
  </si>
  <si>
    <t>Official Flickr account for SpaceX, the future of space travel. These official SpaceX images are being made available to the public and news media with no restrictions.</t>
  </si>
  <si>
    <t>https://www.flickr.com/photos/spacex/</t>
  </si>
  <si>
    <t>Stocksnap.io</t>
  </si>
  <si>
    <t>https://stocksnap.io/</t>
  </si>
  <si>
    <t>StockVault</t>
  </si>
  <si>
    <t>Images, clipart and more</t>
  </si>
  <si>
    <t>https://www.stockvault.net/</t>
  </si>
  <si>
    <t>The British Library Image Gallery</t>
  </si>
  <si>
    <t>The British Library’s collections on Flickr Commons offer access to millions of public domain images, which they encourage you to explore and re-use.</t>
  </si>
  <si>
    <t>https://www.flickr.com/photos/britishlibrary</t>
  </si>
  <si>
    <t>Viintage</t>
  </si>
  <si>
    <t>Copyright-free vintage graphics</t>
  </si>
  <si>
    <t>http://viintage.com/</t>
  </si>
  <si>
    <t>Walters Art Museum</t>
  </si>
  <si>
    <t>There are several ways to browse the collection (by category, place, medium, and more). You can save what you like in collections or download as you go. The museum has assigned the Creative Commons Zero: No Rights Reserved license to all of these images, which allows you to copy, modify, and distribute them, even for commercial purposes.</t>
  </si>
  <si>
    <t>http://art.thewalters.org/</t>
  </si>
  <si>
    <t>The Art Institute of Chicago</t>
  </si>
  <si>
    <t>Explore thousands of artworks in the museum’s wide-ranging collection—from our world-renowned icons to lesser-known gems from every corner of the globe—as well as our books, writings, reference materials, and other resources.</t>
  </si>
  <si>
    <t>https://www.artic.edu/collection?is_public_domain=1</t>
  </si>
  <si>
    <t>Unsplash</t>
  </si>
  <si>
    <t>http://unsplash.com</t>
  </si>
  <si>
    <t>Vector</t>
  </si>
  <si>
    <t>Allvectors.com</t>
  </si>
  <si>
    <t>Most of vector art published on this website is free to use for both personal and commercial purposes. Vector files are usually saved in .EPS (encapsulated post script) or .AI (Adobe Illustrator) formats.</t>
  </si>
  <si>
    <t>http://allvectors.com</t>
  </si>
  <si>
    <t>DrawKit is a collection of free, beautiful, customisable MIT licensed SVG illustrations in two styles, to use on your next website, app, or project.</t>
  </si>
  <si>
    <t>https://www.drawkit.io</t>
  </si>
  <si>
    <t>The largest database of free icons available in PNG, SVG, EPS, PSD and BASE 64 formats.</t>
  </si>
  <si>
    <t>https://www.flaticon.com/</t>
  </si>
  <si>
    <t>Free Vector Maps is a Ted Grajeda project created to provide the design world with a highly detailed, easily customisable and consistent library of stock maps for free* and premium maps and icons at great prices.</t>
  </si>
  <si>
    <t>https://freevectormaps.com/</t>
  </si>
  <si>
    <t>FreeVectors.net</t>
  </si>
  <si>
    <t>All the images on this site are free to use for personal use and most of them can be used commercially.</t>
  </si>
  <si>
    <t>http://freevectors.net</t>
  </si>
  <si>
    <t>Mix-&amp;-match illustrations of people with a design library. Free for commercial or personal use by Pablo Stanley</t>
  </si>
  <si>
    <t>https://www.humaaans.com</t>
  </si>
  <si>
    <t>Use the icons for free, regardless of whether for commercial or non-commercial purposes.</t>
  </si>
  <si>
    <t>https://iconmonstr.com/</t>
  </si>
  <si>
    <t>Ouch.pics is a project of Icons8 dedicated to free vector illustrations for user interface. They would give a clean, trendy look to your designs. Alongside with stock photos, free icon packs, and free music, we are determined to build a design platform and change the way people create things.</t>
  </si>
  <si>
    <t>https://icons8.com</t>
  </si>
  <si>
    <t>Fully customisable and accessible vector icons</t>
  </si>
  <si>
    <t>https://www.ikonate.com/</t>
  </si>
  <si>
    <t>Build your own amazing illustrations
Using our awesome gradients and hand drawn sketch components.</t>
  </si>
  <si>
    <t>https://iradesign.io</t>
  </si>
  <si>
    <t>A collection of free isometric vectors</t>
  </si>
  <si>
    <t>https://isoflat.com</t>
  </si>
  <si>
    <t>Free isometric illustrations for designers, startups, and companies</t>
  </si>
  <si>
    <t>https://isometric.online/</t>
  </si>
  <si>
    <t>Library of Ambisonic Sound</t>
  </si>
  <si>
    <t>The largest collection of Ambisonic recordings</t>
  </si>
  <si>
    <t>https://library.soundfield.com/</t>
  </si>
  <si>
    <t>Each week, discover royalty-free illustrations to power up your projects. Use them in a commercial or non-commercial way for your landing pages, blog posts, email newsletters, social media graphics and more! Our License</t>
  </si>
  <si>
    <t>https://gallery.manypixels.co</t>
  </si>
  <si>
    <t>Free HD videos and static illustration</t>
  </si>
  <si>
    <t>https://mixkit.co/</t>
  </si>
  <si>
    <t>Open Clip Art</t>
  </si>
  <si>
    <t>Vector graphics available under Creative Commons Zero 1.0 License.</t>
  </si>
  <si>
    <t>http://openclipart.org</t>
  </si>
  <si>
    <t>Public Domain Vectors</t>
  </si>
  <si>
    <t xml:space="preserve">Copyright-free vector images in popular .eps, .svg, .ai and .cdr formats.To the extent possible under law, uploaders on this site have waived all copyright to their vector images. </t>
  </si>
  <si>
    <t>https://publicdomainvectors.org</t>
  </si>
  <si>
    <t>Their sole purpose is to collect and archive high resolution photographs that photographers, designers and students can share and use for their personal and non-commercial design projects.</t>
  </si>
  <si>
    <t>http://www.stockvault.net/</t>
  </si>
  <si>
    <t>Free Photos, Vectors, Icons, Fonts and Videos
Thousands of files for personal and commercial use</t>
  </si>
  <si>
    <t>https://www.stockio.com/</t>
  </si>
  <si>
    <t>UnDraw.co</t>
  </si>
  <si>
    <t>A constantly updated collection of beautiful svg images that you can use completely free and without attribution.</t>
  </si>
  <si>
    <t>https://undraw.co/</t>
  </si>
  <si>
    <t>Vector Open Stock</t>
  </si>
  <si>
    <t>Search and filter by file type such as PSD mockups, vectors graphics, Transparent PNGs.</t>
  </si>
  <si>
    <t>http://www.vectoropenstock.com/</t>
  </si>
  <si>
    <t>Vector designs available for use. Licenses vary by creator.</t>
  </si>
  <si>
    <t>https://www.vexels.com/</t>
  </si>
  <si>
    <t>Download Illustrations in SVG, SKETCH, AI and PNG formats.</t>
  </si>
  <si>
    <t>https://woobro.design/</t>
  </si>
  <si>
    <t>Audio</t>
  </si>
  <si>
    <t>Audio on Archive.org</t>
  </si>
  <si>
    <t>Contains recordings ranging from alternative news programming, to concerts, to Old Time Radio shows, to book and poetry readings, to original music uploaded by users. Many of these audios and MP3s are available for free download.</t>
  </si>
  <si>
    <t>https://archive.org/details/audio</t>
  </si>
  <si>
    <t>BBC Sound Effects</t>
  </si>
  <si>
    <t>These 16,016 BBC Sound Effects are made available by the BBC in WAV format to download for use under the terms of the RemArc Licence. The Sound Effects are BBC copyright, but they may be used for personal, educational or research purposes, as detailed in the license. Read and understand the RemArc license before using this audio.</t>
  </si>
  <si>
    <t>http://bbcsfx.acropolis.org.uk/</t>
  </si>
  <si>
    <t>ccMixter</t>
  </si>
  <si>
    <t>While ccMixter has no problems with quantity, it does have some issues with the quality of the files uploaded. Not everyone has the latest tools, inspiration or skills to produce high-quality music, so you’ll spend some time here to find a suitable track.
The entire ccMixter sound collection is available under an attribution license. As long as you give credit to the artist, you’re free to use it for whatever project you have in mind.</t>
  </si>
  <si>
    <t>http://dig.ccmixter.org/</t>
  </si>
  <si>
    <t>Free Music Archive</t>
  </si>
  <si>
    <t>The Free Music Archive is an interactive library of high-quality, legal audio downloads. Unlike other websites, uploading content is granted only on an invitation basis and all audio files are hand-picked by one of the project’s curators.</t>
  </si>
  <si>
    <t>http://freemusicarchive.org/</t>
  </si>
  <si>
    <t>FreeSound</t>
  </si>
  <si>
    <t>Freesound aims to create a huge collaborative database of audio snippets, samples, recordings, bleeps, ... released under Creative Commons licenses that allow their reuse.</t>
  </si>
  <si>
    <t>https://freesound.org</t>
  </si>
  <si>
    <t>Fugue</t>
  </si>
  <si>
    <t>Quality tracks free to use for a credit link.</t>
  </si>
  <si>
    <t>https://icons8.com/music/</t>
  </si>
  <si>
    <t>Creative Commons-licensed audio. Not everything is free to use. Mind the licenses.</t>
  </si>
  <si>
    <t>https://www.jamendo.com/</t>
  </si>
  <si>
    <t>Jason McCoy's List</t>
  </si>
  <si>
    <t>https://mccoyproductions.net/free-music-for-videos/</t>
  </si>
  <si>
    <t>Macaulay Library, Cornell University</t>
  </si>
  <si>
    <t>There are bird calls available in this library that can be requested for use in educational contexts with attribution, but no fees.</t>
  </si>
  <si>
    <t>https://www.macaulaylibrary.org/</t>
  </si>
  <si>
    <t>Musopen</t>
  </si>
  <si>
    <t>a non-profit website that hosts music recordings, music sheets, sounds, apps and even educational materials without copyright restrictions. Musopen is on a mission to offer free music to anyone. Unlike other websites, Musopen is focused on classical instrumental music and covers various musical themes such as Baroque, Classical, Medieval or Renaissance.</t>
  </si>
  <si>
    <t>https://musopen.org/</t>
  </si>
  <si>
    <t>Like Unsplash, but for music.</t>
  </si>
  <si>
    <t>https://www.unminus.com/</t>
  </si>
  <si>
    <t>World Library Audio</t>
  </si>
  <si>
    <t>Audiobook collection - The World Library Foundation is the world's largest collection of Books and Articles in electronic format. Founded in 1996, the World Library Foundation is a global coordinated effort to preserve and disseminate digital facsimiles of historical books, classic works of literature, serials, bibliographies, dictionaries, encyclopedias, and other heritage works in a number of languages and countries around the world.</t>
  </si>
  <si>
    <t>http://worldlibrary.net/collectionCatalog.aspx?CatalogId=7</t>
  </si>
  <si>
    <t>Video</t>
  </si>
  <si>
    <t>Coverr</t>
  </si>
  <si>
    <t>Public domain video for  use as backgrounds on websites</t>
  </si>
  <si>
    <t>http://www.coverr.co/</t>
  </si>
  <si>
    <t>Mazwai</t>
  </si>
  <si>
    <t>A collection of user-contributed video. Licenses vary by video createor.</t>
  </si>
  <si>
    <t>http://mazwai.com</t>
  </si>
  <si>
    <t>Mixkit</t>
  </si>
  <si>
    <t>The Mixkit License allows you to use any of our Items in your commercial and non-commercial projects, for free.
You’re permitted to download, copy, modify, distribute, publicly perform and broadcast the Items. Your rights are non-exclusive, worldwide, sub-licensable and revocable. Attribution is not required, however, we would appreciate if you credit Mixkit where reasonably possible.</t>
  </si>
  <si>
    <t>https://mixkit.co</t>
  </si>
  <si>
    <t>Movies on Archive.org</t>
  </si>
  <si>
    <t>This library contains digital movies uploaded by Archive users which range from classic full-length films, to daily alternative news broadcasts, to cartoons and concerts. Many of these videos are available for free download.</t>
  </si>
  <si>
    <t>https://archive.org/details/movies</t>
  </si>
  <si>
    <t>Videezy</t>
  </si>
  <si>
    <t>Free HD stock Footage and 4K videos</t>
  </si>
  <si>
    <t>https://www.videezy.com/</t>
  </si>
  <si>
    <t>Videvo</t>
  </si>
  <si>
    <t>Completely free HD stock footage and motion graphics for any project!</t>
  </si>
  <si>
    <t>https://www.videvo.net/</t>
  </si>
  <si>
    <t>Fonts</t>
  </si>
  <si>
    <t>Open Foundry</t>
  </si>
  <si>
    <t>Open Foundry is an amazing platform that holds a rich collection of open-source fonts. Have fun exploring their collection of typefaces and toggling with their different display options. You can experiment with kerning, sizing, backgrounds, and more straight from Open Foundry’s interface</t>
  </si>
  <si>
    <t>https://open-foundry.com</t>
  </si>
  <si>
    <t>The League of Movable Type</t>
  </si>
  <si>
    <t>The League of Moveable Type declares on their homepage, their manifesto is all about raising the design standards of the web and empowering everyone with top-notch typography. They proudly offer a handful of high-quality open-sourced typefaces on their website.</t>
  </si>
  <si>
    <t>https://www.theleagueofmoveabletype.com/</t>
  </si>
  <si>
    <t>Lost Type Co-Op</t>
  </si>
  <si>
    <t>Lost Type is the very first “Pay-What-You-Want” type foundry founded back in 2011. Whatever funds are collected go directly to the font’s respective designers. It’s a win-win! Check out their awesome catalog of over 50 unique typefaces.</t>
  </si>
  <si>
    <t>http://www.losttype.com/</t>
  </si>
  <si>
    <t>MyFonts - Free Fonts</t>
  </si>
  <si>
    <t>Did you know you can filter through free typefaces on the world’s largest collection of fonts? That’s right—MyFonts.com offers a variety of free fonts</t>
  </si>
  <si>
    <t>https://www.myfonts.com/search//free/</t>
  </si>
  <si>
    <t>Font Squirrel</t>
  </si>
  <si>
    <t>The self-proclaimed “free font utopia” Font Squirrel is a great resource if you’re specifically looking for fonts that are free for commercial use. They’ve done the heavy work for you by researching licenses and carefully hand-picking every font displayed on their site.</t>
  </si>
  <si>
    <t>https://www.fontsquirrel.com/</t>
  </si>
  <si>
    <t>Awwwards Free Font Collection</t>
  </si>
  <si>
    <t>Awwwards generously put together a collection of free fonts from designers all around the web. Although not all are free for commercial use, with the vast array of styles available, you should be able to find just what you’re looking for.</t>
  </si>
  <si>
    <t>https://www.awwwards.com/awwwards/collections/free-fonts/</t>
  </si>
  <si>
    <t>Google Fonts</t>
  </si>
  <si>
    <t>With nearly 1000 fonts available in more than 135 languages, Google Fonts remains a go-to resource for designers, type lovers, and just about anyone who wants to download typefaces for both personal and commercial use.</t>
  </si>
  <si>
    <t>https://fonts.google.com/</t>
  </si>
  <si>
    <t>*Bookmark this site</t>
  </si>
  <si>
    <t>Templates</t>
  </si>
  <si>
    <t>FreebiesBug</t>
  </si>
  <si>
    <t>A huge and ever-growing selection of 1850+ Free Design Resources created by top designers and developers. Choose from an extensive selection of fonts, graphic and HTML website templates, icons, mockups, and much more!</t>
  </si>
  <si>
    <t>https://freebiesbug.com/</t>
  </si>
  <si>
    <t>SlidesCarnival</t>
  </si>
  <si>
    <t>A collection of free presentation templaces for Google Slides, PowerPoint, and Canva</t>
  </si>
  <si>
    <t>https://slidescarnival.com</t>
  </si>
  <si>
    <t>Visual Reference &amp; Inspiration</t>
  </si>
  <si>
    <t>Cosmos</t>
  </si>
  <si>
    <t>A curated visual reference tool for creative directors and designers. Organize and discover visual inspiration.</t>
  </si>
  <si>
    <t>https://www.cosmos.so</t>
  </si>
  <si>
    <t>Godly</t>
  </si>
  <si>
    <t>A showcase of the most beautiful websites on the internet, curated for creative inspiration.</t>
  </si>
  <si>
    <t>https://godly.website</t>
  </si>
  <si>
    <t>노트폴리오 (Notfolio)</t>
  </si>
  <si>
    <t>Korean-based creative portfolio platform featuring design, photography, and art work. Free to browse.</t>
  </si>
  <si>
    <t>https://notefolio.net</t>
  </si>
  <si>
    <t>Visual Journal</t>
  </si>
  <si>
    <t>A curated collection of visual references and creative inspiration for designers and art directors.</t>
  </si>
  <si>
    <t>https://www.visualjournal.it</t>
  </si>
  <si>
    <t>AI INDEX</t>
  </si>
  <si>
    <t>A curated index of AI-generated art and design references for creative professionals.</t>
  </si>
  <si>
    <t>https://aiindex.art</t>
  </si>
  <si>
    <t>[FILMGRAB]</t>
  </si>
  <si>
    <t>A film stills reference database. Browse and search frames from thousands of films for visual reference.</t>
  </si>
  <si>
    <t>https://film-grab.com</t>
  </si>
  <si>
    <t>SHOTDECK</t>
  </si>
  <si>
    <t>The world's largest searchable film image library. Millions of high-quality images from Hollywood films for creative reference.</t>
  </si>
  <si>
    <t>https://shotdeck.com</t>
  </si>
  <si>
    <t>Visual Reference Search</t>
  </si>
  <si>
    <t>Search engine specifically built for finding visual references across the web for creative work.</t>
  </si>
  <si>
    <t>https://visualreference.io</t>
  </si>
  <si>
    <t>Flim</t>
  </si>
  <si>
    <t>AI-powered film reference tool. Search millions of movie stills by mood, color, composition.</t>
  </si>
  <si>
    <t>https://www.flim.ai</t>
  </si>
  <si>
    <t>SHOT.CAFE</t>
  </si>
  <si>
    <t>A curated library of movie screenshots and visual references organized for creative directors and filmmakers.</t>
  </si>
  <si>
    <t>https://shot.cafe</t>
  </si>
  <si>
    <t>Are.na</t>
  </si>
  <si>
    <t>A platform for saving and organizing images, links, and text into visual research boards. Free tier available.</t>
  </si>
  <si>
    <t>https://www.are.na</t>
  </si>
  <si>
    <t>B&amp;A Represents</t>
  </si>
  <si>
    <t>Represents photographers and directors. Public portfolio archive is a rich reference for commercial photography.</t>
  </si>
  <si>
    <t>https://barepresents.com</t>
  </si>
  <si>
    <t>Art + Commerce</t>
  </si>
  <si>
    <t>Talent agency representing photographers and directors. Public portfolios serve as top-tier visual reference.</t>
  </si>
  <si>
    <t>https://artandcommerce.com</t>
  </si>
  <si>
    <t>Dave Dye</t>
  </si>
  <si>
    <t>Blog by creative director Dave Dye archiving great advertising work from history. Free reference resource.</t>
  </si>
  <si>
    <t>https://davedye.com</t>
  </si>
  <si>
    <t>The Toolbox</t>
  </si>
  <si>
    <t>A curated resource hub for creative professionals including tools, references, and inspiration.</t>
  </si>
  <si>
    <t>https://www.thetoolbox.cc</t>
  </si>
  <si>
    <t>Design Tools &amp; References</t>
  </si>
  <si>
    <t>Checklist Design</t>
  </si>
  <si>
    <t>A collection of the best UX and UI practices for product designers. Free reference resource.</t>
  </si>
  <si>
    <t>https://www.checklist.design</t>
  </si>
  <si>
    <t>Mobbin</t>
  </si>
  <si>
    <t>Library of mobile UI patterns and flows. Free plan available. Great for UI reference and inspiration.</t>
  </si>
  <si>
    <t>https://mobbin.com</t>
  </si>
  <si>
    <t>Dribbble</t>
  </si>
  <si>
    <t>Design inspiration platform. Browse free work from designers worldwide.</t>
  </si>
  <si>
    <t>https://dribbble.com</t>
  </si>
  <si>
    <t>Behance</t>
  </si>
  <si>
    <t>Adobe's platform for creative professionals to showcase and discover work. Free to browse.</t>
  </si>
  <si>
    <t>https://www.behance.net</t>
  </si>
  <si>
    <t>Land-book</t>
  </si>
  <si>
    <t>Curated gallery of beautiful landing page designs. Free to browse for web design reference.</t>
  </si>
  <si>
    <t>https://land-book.com</t>
  </si>
  <si>
    <t>Lapa Ninja</t>
  </si>
  <si>
    <t>Free library of landing page designs for inspiration. Searchable by category.</t>
  </si>
  <si>
    <t>https://www.lapa.ninja</t>
  </si>
  <si>
    <t>Siteinspire</t>
  </si>
  <si>
    <t>Curated showcase of web design and typography. High quality visual reference for digital creatives.</t>
  </si>
  <si>
    <t>https://www.siteinspire.com</t>
  </si>
  <si>
    <t>CollectUI</t>
  </si>
  <si>
    <t>Daily UI design inspiration collected from Dribbble. Organized by UI component. Free.</t>
  </si>
  <si>
    <t>https://collectui.com</t>
  </si>
  <si>
    <t>UI Patterns</t>
  </si>
  <si>
    <t>Documentation of design patterns with real-world examples. Free reference for UX/UI professionals.</t>
  </si>
  <si>
    <t>https://ui-patterns.com</t>
  </si>
  <si>
    <t>Typewolf</t>
  </si>
  <si>
    <t>Helps designers choose the right font pairings for projects. Free font combination reference.</t>
  </si>
  <si>
    <t>https://www.typewolf.com</t>
  </si>
  <si>
    <t>Color &amp; Photography References</t>
  </si>
  <si>
    <t>Coolors</t>
  </si>
  <si>
    <t>Fast color palette generator. Free to use. Generate, explore, and export beautiful color palettes.</t>
  </si>
  <si>
    <t>https://coolors.co</t>
  </si>
  <si>
    <t>Adobe Color</t>
  </si>
  <si>
    <t>Free color wheel and palette tool from Adobe. Extract themes from images and create harmonious palettes.</t>
  </si>
  <si>
    <t>https://color.adobe.com</t>
  </si>
  <si>
    <t>Colour Lovers</t>
  </si>
  <si>
    <t>Community platform for sharing and discovering beautiful color palettes and patterns. Free.</t>
  </si>
  <si>
    <t>https://www.colourlovers.com</t>
  </si>
  <si>
    <t>The Noun Project</t>
  </si>
  <si>
    <t>Huge library of icons and photos. Free plan available with attribution.</t>
  </si>
  <si>
    <t>https://thenounproject.com</t>
  </si>
  <si>
    <t>Reshot</t>
  </si>
  <si>
    <t>Free curated collection of handpicked stock photos with no attribution required.</t>
  </si>
  <si>
    <t>https://www.reshot.com</t>
  </si>
  <si>
    <t>Life of Pix</t>
  </si>
  <si>
    <t>Free high resolution photography. No attribution required, no copyright restrictions.</t>
  </si>
  <si>
    <t>https://www.lifeofpix.com</t>
  </si>
  <si>
    <t>Gratisography</t>
  </si>
  <si>
    <t>Free high-resolution pictures you can use on your personal and commercial projects.</t>
  </si>
  <si>
    <t>https://gratisography.com</t>
  </si>
  <si>
    <t>StockSnap.io</t>
  </si>
  <si>
    <t>Hundreds of high resolution images added weekly. All free from copyright restrictions.</t>
  </si>
  <si>
    <t>https://stocksnap.io</t>
  </si>
  <si>
    <t>Picjumbo</t>
  </si>
  <si>
    <t>Totally free photos for commercial and personal projects. No attribution needed.</t>
  </si>
  <si>
    <t>https://picjumbo.com</t>
  </si>
  <si>
    <t>Kaboom Pics</t>
  </si>
  <si>
    <t>Free stock photography with a color palette generator for each image.</t>
  </si>
  <si>
    <t>https://kaboompics.com</t>
  </si>
  <si>
    <t>Creative Professional Tools (Free)</t>
  </si>
  <si>
    <t>Canva Free</t>
  </si>
  <si>
    <t>Free graphic design platform with thousands of templates for social media, presentations, and print.</t>
  </si>
  <si>
    <t>https://www.canva.com</t>
  </si>
  <si>
    <t>Adobe Express</t>
  </si>
  <si>
    <t>Free online design tool by Adobe. Create social media graphics, flyers, and more.</t>
  </si>
  <si>
    <t>https://www.adobe.com/express</t>
  </si>
  <si>
    <t>Figma (Free Plan)</t>
  </si>
  <si>
    <t>Collaborative design tool with a generous free plan. Industry standard for UI/UX and visual design.</t>
  </si>
  <si>
    <t>https://www.figma.com</t>
  </si>
  <si>
    <t>Canva Color Palette Generator</t>
  </si>
  <si>
    <t>Upload any image and generate a color palette from it. Free.</t>
  </si>
  <si>
    <t>https://www.canva.com/colors/color-palette-generator</t>
  </si>
  <si>
    <t>Remove.bg</t>
  </si>
  <si>
    <t>Free background removal for images. AI-powered, fast, and easy to use.</t>
  </si>
  <si>
    <t>https://www.remove.bg</t>
  </si>
  <si>
    <t>Cleanup.pictures</t>
  </si>
  <si>
    <t>Free AI-powered tool to remove objects, people, or text from photos.</t>
  </si>
  <si>
    <t>https://cleanup.pictures</t>
  </si>
  <si>
    <t>Unscreen</t>
  </si>
  <si>
    <t>Remove the background from videos for free. No green screen needed.</t>
  </si>
  <si>
    <t>https://www.unscreen.com</t>
  </si>
  <si>
    <t>Kapwing</t>
  </si>
  <si>
    <t>Free online video editor with templates, subtitles, and collaboration features.</t>
  </si>
  <si>
    <t>https://www.kapwing.com</t>
  </si>
  <si>
    <t>DaVinci Resolve (Free)</t>
  </si>
  <si>
    <t>Professional-grade video editing and color grading software. Completely free version available.</t>
  </si>
  <si>
    <t>https://www.blackmagicdesign.com/products/davinciresolve</t>
  </si>
  <si>
    <t>ScreenToGif</t>
  </si>
  <si>
    <t>Free, open source screen recorder that can export as GIF, video, or images.</t>
  </si>
  <si>
    <t>https://www.screentogif.com</t>
  </si>
  <si>
    <t>Squoosh</t>
  </si>
  <si>
    <t>Free image compression tool by Google. Compress images without losing quality.</t>
  </si>
  <si>
    <t>https://squoosh.app</t>
  </si>
  <si>
    <t>TinyPNG</t>
  </si>
  <si>
    <t>Smart PNG and JPEG compression. Free for up to 20 images/month.</t>
  </si>
  <si>
    <t>https://tinypng.com</t>
  </si>
  <si>
    <t>Lottie Files</t>
  </si>
  <si>
    <t>Free library of animated illustrations and icons in lightweight JSON format.</t>
  </si>
  <si>
    <t>https://lottiefiles.com</t>
  </si>
  <si>
    <t>Rive</t>
  </si>
  <si>
    <t>Design and ship interactive animations for apps and the web. Free tier available.</t>
  </si>
  <si>
    <t>https://rive.app</t>
  </si>
  <si>
    <t>Spline</t>
  </si>
  <si>
    <t>3D design tool for creating interactive 3D content. Free plan available.</t>
  </si>
  <si>
    <t>https://spline.design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</si>
</sst>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0"/>
      <color rgb="FF000000"/>
      <name val="Arial"/>
    </font>
    <font>
      <sz val="10"/>
      <name val="Arial"/>
    </font>
    <font>
      <sz val="10"/>
      <color rgb="FF000000"/>
      <name val="Proxima Nova"/>
    </font>
    <font>
      <u/>
      <sz val="10"/>
      <color rgb="FF0000FF"/>
      <name val="Arial"/>
    </font>
    <font>
      <sz val="36"/>
      <color rgb="FFFFFFFF"/>
      <name val="Arvo"/>
    </font>
    <font>
      <sz val="10"/>
      <color rgb="FFFFFFFF"/>
      <name val="Proxima Nova"/>
    </font>
    <font>
      <sz val="10"/>
      <name val="Proxima Nova"/>
    </font>
    <font>
      <b/>
      <sz val="12"/>
      <name val="Proxima Nova"/>
    </font>
    <font>
      <b/>
      <sz val="12"/>
      <color rgb="FF000000"/>
      <name val="Proxima Nova"/>
    </font>
    <font>
      <b/>
      <sz val="10"/>
      <name val="Arial"/>
    </font>
    <font>
      <sz val="18"/>
      <name val="Proxima Nova"/>
    </font>
    <font>
      <u/>
      <sz val="10"/>
      <color rgb="FF0000FF"/>
      <name val="Proxima Nova"/>
    </font>
    <font>
      <sz val="10"/>
      <color rgb="FF000000"/>
      <name val="Proxima Nova"/>
    </font>
    <font>
      <u/>
      <sz val="10"/>
      <color rgb="FF0000FF"/>
      <name val="Arial"/>
    </font>
    <font>
      <sz val="10"/>
      <name val="Arial"/>
    </font>
    <font>
      <u/>
      <sz val="10"/>
      <color rgb="FF0000FF"/>
      <name val="Arial"/>
    </font>
    <font>
      <u/>
      <sz val="10"/>
      <color rgb="FF0000FF"/>
      <name val="Arial"/>
    </font>
    <font>
      <u/>
      <sz val="10"/>
      <color rgb="FF0000FF"/>
      <name val="Arial"/>
    </font>
    <font>
      <u/>
      <sz val="10"/>
      <color rgb="FF0000FF"/>
      <name val="Arial"/>
    </font>
    <font>
      <u/>
      <sz val="10"/>
      <color rgb="FF0000FF"/>
      <name val="Proxima Nova"/>
    </font>
    <font>
      <sz val="10"/>
      <color rgb="FF312928"/>
      <name val="Proxima Nova"/>
    </font>
    <font>
      <u/>
      <sz val="10"/>
      <color rgb="FF0000FF"/>
      <name val="Arial"/>
    </font>
    <font>
      <u/>
      <sz val="10"/>
      <color rgb="FF0000FF"/>
      <name val="Proxima Nova"/>
    </font>
    <font>
      <sz val="18"/>
      <color rgb="FF000000"/>
      <name val="&quot;Proxima Nova&quot;"/>
    </font>
    <font>
      <sz val="9"/>
      <color rgb="FF000000"/>
      <name val="Verdana"/>
    </font>
    <font>
      <sz val="10"/>
      <color rgb="FF0000FF"/>
      <name val="Arial"/>
    </font>
    <font>
      <i/>
      <sz val="10"/>
      <name val="Proxima Nova"/>
    </font>
    <font>
      <u/>
      <sz val="10"/>
      <color rgb="FF0000FF"/>
      <name val="Proxima Nova"/>
    </font>
    <font>
      <u/>
      <sz val="10"/>
      <color rgb="FF0000FF"/>
      <name val="Arial"/>
    </font>
    <font>
      <sz val="10"/>
      <name val="Arial"/>
    </font>
    <font>
      <u/>
      <sz val="10"/>
      <color rgb="FF0000FF"/>
      <name val="Arial"/>
    </font>
    <font>
      <u/>
      <sz val="10"/>
      <color rgb="FFF3F3F3"/>
      <name val="Proxima Nova"/>
    </font>
    <font>
      <b/>
      <sz val="11"/>
      <name val="Arial"/>
    </font>
    <font>
      <u/>
      <sz val="10"/>
      <color rgb="FF0070C0"/>
      <name val="Arial"/>
    </font>
  </fonts>
  <fills count="7">
    <fill>
      <patternFill patternType="none"/>
    </fill>
    <fill>
      <patternFill patternType="gray125"/>
    </fill>
    <fill>
      <patternFill patternType="solid">
        <fgColor rgb="FF434343"/>
        <bgColor rgb="FF434343"/>
      </patternFill>
    </fill>
    <fill>
      <patternFill patternType="solid">
        <fgColor rgb="FFD9D9D9"/>
        <bgColor rgb="FFD9D9D9"/>
      </patternFill>
    </fill>
    <fill>
      <patternFill patternType="solid">
        <fgColor rgb="FFEFEFEF"/>
        <bgColor rgb="FFEFEFEF"/>
      </patternFill>
    </fill>
    <fill>
      <patternFill patternType="solid">
        <fgColor rgb="FFFFFFFF"/>
        <bgColor rgb="FFFFFFFF"/>
      </patternFill>
    </fill>
    <fill>
      <patternFill patternType="solid">
        <fgColor rgb="FF666666"/>
        <bgColor rgb="FF666666"/>
      </patternFill>
    </fill>
  </fills>
  <borders count="1">
    <border>
      <left/>
      <right/>
      <top/>
      <bottom/>
      <diagonal/>
    </border>
  </borders>
  <cellStyleXfs count="1">
    <xf numFmtId="0" fontId="0" fillId="0" borderId="0"/>
  </cellStyleXfs>
  <cellXfs count="61">
    <xf numFmtId="0" fontId="0" fillId="0" borderId="0" xfId="0"/>
    <xf numFmtId="0" fontId="1" fillId="0" borderId="0" xfId="0" applyFont="1" applyAlignment="1">
      <alignment vertical="top"/>
    </xf>
    <xf numFmtId="0" fontId="2" fillId="0" borderId="0" xfId="0" applyFont="1" applyAlignment="1">
      <alignment wrapText="1"/>
    </xf>
    <xf numFmtId="0" fontId="3" fillId="0" borderId="0" xfId="0" applyFont="1" applyAlignment="1">
      <alignment vertical="center"/>
    </xf>
    <xf numFmtId="0" fontId="1" fillId="2" borderId="0" xfId="0" applyFont="1" applyFill="1"/>
    <xf numFmtId="0" fontId="1" fillId="2" borderId="0" xfId="0" applyFont="1" applyFill="1" applyAlignment="1">
      <alignment vertical="top"/>
    </xf>
    <xf numFmtId="0" fontId="2" fillId="2" borderId="0" xfId="0" applyFont="1" applyFill="1" applyAlignment="1">
      <alignment wrapText="1"/>
    </xf>
    <xf numFmtId="0" fontId="6" fillId="0" borderId="0" xfId="0" applyFont="1"/>
    <xf numFmtId="0" fontId="6" fillId="0" borderId="0" xfId="0" applyFont="1" applyAlignment="1">
      <alignment vertical="top"/>
    </xf>
    <xf numFmtId="0" fontId="7" fillId="0" borderId="0" xfId="0" applyFont="1"/>
    <xf numFmtId="0" fontId="7" fillId="0" borderId="0" xfId="0" applyFont="1" applyAlignment="1">
      <alignment vertical="top"/>
    </xf>
    <xf numFmtId="0" fontId="8" fillId="0" borderId="0" xfId="0" applyFont="1" applyAlignment="1">
      <alignment wrapText="1"/>
    </xf>
    <xf numFmtId="0" fontId="9" fillId="0" borderId="0" xfId="0" applyFont="1"/>
    <xf numFmtId="0" fontId="6" fillId="3" borderId="0" xfId="0" applyFont="1" applyFill="1" applyAlignment="1">
      <alignment vertical="top"/>
    </xf>
    <xf numFmtId="0" fontId="6" fillId="3" borderId="0" xfId="0" applyFont="1" applyFill="1"/>
    <xf numFmtId="0" fontId="2" fillId="3" borderId="0" xfId="0" applyFont="1" applyFill="1" applyAlignment="1">
      <alignment wrapText="1"/>
    </xf>
    <xf numFmtId="0" fontId="10" fillId="4" borderId="0" xfId="0" applyFont="1" applyFill="1" applyAlignment="1">
      <alignment vertical="top"/>
    </xf>
    <xf numFmtId="0" fontId="11" fillId="0" borderId="0" xfId="0" applyFont="1"/>
    <xf numFmtId="0" fontId="12" fillId="5" borderId="0" xfId="0" applyFont="1" applyFill="1" applyAlignment="1">
      <alignment wrapText="1"/>
    </xf>
    <xf numFmtId="0" fontId="13" fillId="0" borderId="0" xfId="0" applyFont="1"/>
    <xf numFmtId="0" fontId="1" fillId="0" borderId="0" xfId="0" applyFont="1" applyAlignment="1">
      <alignment wrapText="1"/>
    </xf>
    <xf numFmtId="0" fontId="14" fillId="0" borderId="0" xfId="0" applyFont="1" applyAlignment="1">
      <alignment vertical="top"/>
    </xf>
    <xf numFmtId="0" fontId="10" fillId="0" borderId="0" xfId="0" applyFont="1" applyAlignment="1">
      <alignment vertical="top"/>
    </xf>
    <xf numFmtId="0" fontId="1" fillId="0" borderId="0" xfId="0" applyFont="1" applyAlignment="1">
      <alignment vertical="top" wrapText="1"/>
    </xf>
    <xf numFmtId="0" fontId="15" fillId="0" borderId="0" xfId="0" applyFont="1" applyAlignment="1">
      <alignment vertical="top"/>
    </xf>
    <xf numFmtId="0" fontId="16" fillId="0" borderId="0" xfId="0" applyFont="1" applyAlignment="1">
      <alignment vertical="top" wrapText="1"/>
    </xf>
    <xf numFmtId="0" fontId="1" fillId="0" borderId="0" xfId="0" applyFont="1"/>
    <xf numFmtId="0" fontId="17" fillId="0" borderId="0" xfId="0" applyFont="1" applyAlignment="1">
      <alignment wrapText="1"/>
    </xf>
    <xf numFmtId="0" fontId="12" fillId="0" borderId="0" xfId="0" applyFont="1" applyAlignment="1">
      <alignment wrapText="1"/>
    </xf>
    <xf numFmtId="0" fontId="18" fillId="0" borderId="0" xfId="0" applyFont="1"/>
    <xf numFmtId="0" fontId="19" fillId="0" borderId="0" xfId="0" applyFont="1" applyAlignment="1">
      <alignment vertical="top"/>
    </xf>
    <xf numFmtId="0" fontId="20" fillId="0" borderId="0" xfId="0" applyFont="1" applyAlignment="1">
      <alignment wrapText="1"/>
    </xf>
    <xf numFmtId="0" fontId="6" fillId="0" borderId="0" xfId="0" applyFont="1" applyAlignment="1">
      <alignment wrapText="1"/>
    </xf>
    <xf numFmtId="0" fontId="21" fillId="0" borderId="0" xfId="0" applyFont="1"/>
    <xf numFmtId="0" fontId="22" fillId="0" borderId="0" xfId="0" applyFont="1" applyAlignment="1">
      <alignment vertical="top"/>
    </xf>
    <xf numFmtId="0" fontId="23" fillId="4" borderId="0" xfId="0" applyFont="1" applyFill="1" applyAlignment="1">
      <alignment horizontal="left"/>
    </xf>
    <xf numFmtId="0" fontId="6" fillId="4" borderId="0" xfId="0" applyFont="1" applyFill="1"/>
    <xf numFmtId="0" fontId="2" fillId="4" borderId="0" xfId="0" applyFont="1" applyFill="1" applyAlignment="1">
      <alignment wrapText="1"/>
    </xf>
    <xf numFmtId="0" fontId="1" fillId="4" borderId="0" xfId="0" applyFont="1" applyFill="1"/>
    <xf numFmtId="0" fontId="24" fillId="5" borderId="0" xfId="0" applyFont="1" applyFill="1" applyAlignment="1">
      <alignment wrapText="1"/>
    </xf>
    <xf numFmtId="0" fontId="25" fillId="0" borderId="0" xfId="0" applyFont="1"/>
    <xf numFmtId="0" fontId="26" fillId="0" borderId="0" xfId="0" applyFont="1" applyAlignment="1">
      <alignment vertical="top"/>
    </xf>
    <xf numFmtId="0" fontId="6" fillId="0" borderId="0" xfId="0" applyFont="1" applyAlignment="1">
      <alignment vertical="top" wrapText="1"/>
    </xf>
    <xf numFmtId="0" fontId="27" fillId="0" borderId="0" xfId="0" applyFont="1" applyAlignment="1">
      <alignment vertical="top"/>
    </xf>
    <xf numFmtId="0" fontId="14" fillId="0" borderId="0" xfId="0" applyFont="1"/>
    <xf numFmtId="0" fontId="28" fillId="0" borderId="0" xfId="0" applyFont="1" applyAlignment="1">
      <alignment vertical="top"/>
    </xf>
    <xf numFmtId="0" fontId="29" fillId="0" borderId="0" xfId="0" applyFont="1" applyAlignment="1">
      <alignment vertical="top"/>
    </xf>
    <xf numFmtId="0" fontId="29" fillId="0" borderId="0" xfId="0" applyFont="1" applyAlignment="1">
      <alignment vertical="top" wrapText="1"/>
    </xf>
    <xf numFmtId="0" fontId="30" fillId="0" borderId="0" xfId="0" applyFont="1" applyAlignment="1">
      <alignment vertical="top"/>
    </xf>
    <xf numFmtId="0" fontId="6" fillId="6" borderId="0" xfId="0" applyFont="1" applyFill="1"/>
    <xf numFmtId="0" fontId="6" fillId="6" borderId="0" xfId="0" applyFont="1" applyFill="1" applyAlignment="1">
      <alignment vertical="top"/>
    </xf>
    <xf numFmtId="0" fontId="2" fillId="6" borderId="0" xfId="0" applyFont="1" applyFill="1" applyAlignment="1">
      <alignment wrapText="1"/>
    </xf>
    <xf numFmtId="0" fontId="31" fillId="6" borderId="0" xfId="0" applyFont="1" applyFill="1"/>
    <xf numFmtId="0" fontId="32" fillId="0" borderId="0" xfId="0" applyFont="1"/>
    <xf numFmtId="0" fontId="29" fillId="0" borderId="0" xfId="0" applyFont="1"/>
    <xf numFmtId="0" fontId="33" fillId="0" borderId="0" xfId="0" applyFont="1"/>
    <xf numFmtId="0" fontId="4" fillId="2" borderId="0" xfId="0" applyFont="1" applyFill="1" applyAlignment="1">
      <alignment vertical="top"/>
    </xf>
    <xf numFmtId="0" fontId="0" fillId="0" borderId="0" xfId="0"/>
    <xf numFmtId="0" fontId="10" fillId="4" borderId="0" xfId="0" applyFont="1" applyFill="1" applyAlignment="1">
      <alignment vertical="top"/>
    </xf>
    <xf numFmtId="0" fontId="26" fillId="0" borderId="0" xfId="0" applyFont="1" applyAlignment="1">
      <alignment vertical="top"/>
    </xf>
    <xf numFmtId="0" fontId="5" fillId="2" borderId="0" xfId="0" applyFont="1"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5</xdr:col>
      <xdr:colOff>2295525</xdr:colOff>
      <xdr:row>1</xdr:row>
      <xdr:rowOff>114300</xdr:rowOff>
    </xdr:from>
    <xdr:ext cx="657225" cy="590550"/>
    <xdr:pic>
      <xdr:nvPicPr>
        <xdr:cNvPr id="2" name="image2.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5</xdr:col>
      <xdr:colOff>2200275</xdr:colOff>
      <xdr:row>0</xdr:row>
      <xdr:rowOff>47625</xdr:rowOff>
    </xdr:from>
    <xdr:ext cx="838200" cy="295275"/>
    <xdr:pic>
      <xdr:nvPicPr>
        <xdr:cNvPr id="3" name="image1.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openpeeps.com/" TargetMode="External"/><Relationship Id="rId21" Type="http://schemas.openxmlformats.org/officeDocument/2006/relationships/hyperlink" Target="https://images.nga.gov/en/page/show_home_page.html" TargetMode="External"/><Relationship Id="rId42" Type="http://schemas.openxmlformats.org/officeDocument/2006/relationships/hyperlink" Target="http://viintage.com/" TargetMode="External"/><Relationship Id="rId47" Type="http://schemas.openxmlformats.org/officeDocument/2006/relationships/hyperlink" Target="http://allvectors.com/" TargetMode="External"/><Relationship Id="rId63" Type="http://schemas.openxmlformats.org/officeDocument/2006/relationships/hyperlink" Target="https://openclipart.org/" TargetMode="External"/><Relationship Id="rId68" Type="http://schemas.openxmlformats.org/officeDocument/2006/relationships/hyperlink" Target="http://undraw.co/" TargetMode="External"/><Relationship Id="rId84" Type="http://schemas.openxmlformats.org/officeDocument/2006/relationships/hyperlink" Target="https://www.unminus.com/" TargetMode="External"/><Relationship Id="rId89" Type="http://schemas.openxmlformats.org/officeDocument/2006/relationships/hyperlink" Target="https://archive.org/details/movies" TargetMode="External"/><Relationship Id="rId16" Type="http://schemas.openxmlformats.org/officeDocument/2006/relationships/hyperlink" Target="https://www.mockupworld.co/" TargetMode="External"/><Relationship Id="rId11" Type="http://schemas.openxmlformats.org/officeDocument/2006/relationships/hyperlink" Target="http://search.getty.edu/gateway/search?q=&amp;cat=highlight&amp;f=%22Open+Content+Images%22&amp;rows=10&amp;srt=a&amp;dir=s&amp;pg=1" TargetMode="External"/><Relationship Id="rId32" Type="http://schemas.openxmlformats.org/officeDocument/2006/relationships/hyperlink" Target="https://www.rawpixel.com/" TargetMode="External"/><Relationship Id="rId37" Type="http://schemas.openxmlformats.org/officeDocument/2006/relationships/hyperlink" Target="https://www.flickr.com/photos/spacex/" TargetMode="External"/><Relationship Id="rId53" Type="http://schemas.openxmlformats.org/officeDocument/2006/relationships/hyperlink" Target="https://www.humaaans.com/" TargetMode="External"/><Relationship Id="rId58" Type="http://schemas.openxmlformats.org/officeDocument/2006/relationships/hyperlink" Target="https://isoflat.com/" TargetMode="External"/><Relationship Id="rId74" Type="http://schemas.openxmlformats.org/officeDocument/2006/relationships/hyperlink" Target="https://archive.org/details/audio" TargetMode="External"/><Relationship Id="rId79" Type="http://schemas.openxmlformats.org/officeDocument/2006/relationships/hyperlink" Target="https://icons8.com/music/" TargetMode="External"/><Relationship Id="rId5" Type="http://schemas.openxmlformats.org/officeDocument/2006/relationships/hyperlink" Target="https://www.si.edu/openaccess/" TargetMode="External"/><Relationship Id="rId90" Type="http://schemas.openxmlformats.org/officeDocument/2006/relationships/hyperlink" Target="https://www.videezy.com/" TargetMode="External"/><Relationship Id="rId95" Type="http://schemas.openxmlformats.org/officeDocument/2006/relationships/hyperlink" Target="https://www.myfonts.com/search/free/" TargetMode="External"/><Relationship Id="rId22" Type="http://schemas.openxmlformats.org/officeDocument/2006/relationships/hyperlink" Target="https://negativespace.co/" TargetMode="External"/><Relationship Id="rId27" Type="http://schemas.openxmlformats.org/officeDocument/2006/relationships/hyperlink" Target="http://pexels.com/" TargetMode="External"/><Relationship Id="rId43" Type="http://schemas.openxmlformats.org/officeDocument/2006/relationships/hyperlink" Target="http://art.thewalters.org/" TargetMode="External"/><Relationship Id="rId48" Type="http://schemas.openxmlformats.org/officeDocument/2006/relationships/hyperlink" Target="https://www.drawkit.io/" TargetMode="External"/><Relationship Id="rId64" Type="http://schemas.openxmlformats.org/officeDocument/2006/relationships/hyperlink" Target="http://openclipart.org/" TargetMode="External"/><Relationship Id="rId69" Type="http://schemas.openxmlformats.org/officeDocument/2006/relationships/hyperlink" Target="https://undraw.co/" TargetMode="External"/><Relationship Id="rId80" Type="http://schemas.openxmlformats.org/officeDocument/2006/relationships/hyperlink" Target="https://www.jamendo.com/" TargetMode="External"/><Relationship Id="rId85" Type="http://schemas.openxmlformats.org/officeDocument/2006/relationships/hyperlink" Target="http://worldlibrary.net/collectionCatalog.aspx?CatalogId=7" TargetMode="External"/><Relationship Id="rId12" Type="http://schemas.openxmlformats.org/officeDocument/2006/relationships/hyperlink" Target="https://freephotos.cc/" TargetMode="External"/><Relationship Id="rId17" Type="http://schemas.openxmlformats.org/officeDocument/2006/relationships/hyperlink" Target="https://mockuptime.com/" TargetMode="External"/><Relationship Id="rId25" Type="http://schemas.openxmlformats.org/officeDocument/2006/relationships/hyperlink" Target="https://www.oldbookillustrations.com/" TargetMode="External"/><Relationship Id="rId33" Type="http://schemas.openxmlformats.org/officeDocument/2006/relationships/hyperlink" Target="https://realgraphy.org/" TargetMode="External"/><Relationship Id="rId38" Type="http://schemas.openxmlformats.org/officeDocument/2006/relationships/hyperlink" Target="http://stocksnap.io/" TargetMode="External"/><Relationship Id="rId46" Type="http://schemas.openxmlformats.org/officeDocument/2006/relationships/hyperlink" Target="http://allvectors.com/" TargetMode="External"/><Relationship Id="rId59" Type="http://schemas.openxmlformats.org/officeDocument/2006/relationships/hyperlink" Target="https://isometric.online/" TargetMode="External"/><Relationship Id="rId67" Type="http://schemas.openxmlformats.org/officeDocument/2006/relationships/hyperlink" Target="https://www.stockio.com/" TargetMode="External"/><Relationship Id="rId20" Type="http://schemas.openxmlformats.org/officeDocument/2006/relationships/hyperlink" Target="https://images.nasa.gov/" TargetMode="External"/><Relationship Id="rId41" Type="http://schemas.openxmlformats.org/officeDocument/2006/relationships/hyperlink" Target="https://www.flickr.com/photos/britishlibrary" TargetMode="External"/><Relationship Id="rId54" Type="http://schemas.openxmlformats.org/officeDocument/2006/relationships/hyperlink" Target="https://iconmonstr.com/" TargetMode="External"/><Relationship Id="rId62" Type="http://schemas.openxmlformats.org/officeDocument/2006/relationships/hyperlink" Target="https://mixkit.co/" TargetMode="External"/><Relationship Id="rId70" Type="http://schemas.openxmlformats.org/officeDocument/2006/relationships/hyperlink" Target="http://www.vectoropenstock.com/" TargetMode="External"/><Relationship Id="rId75" Type="http://schemas.openxmlformats.org/officeDocument/2006/relationships/hyperlink" Target="http://bbcsfx.acropolis.org.uk/" TargetMode="External"/><Relationship Id="rId83" Type="http://schemas.openxmlformats.org/officeDocument/2006/relationships/hyperlink" Target="https://musopen.org/" TargetMode="External"/><Relationship Id="rId88" Type="http://schemas.openxmlformats.org/officeDocument/2006/relationships/hyperlink" Target="https://mixkit.co/" TargetMode="External"/><Relationship Id="rId91" Type="http://schemas.openxmlformats.org/officeDocument/2006/relationships/hyperlink" Target="https://www.videvo.net/" TargetMode="External"/><Relationship Id="rId96" Type="http://schemas.openxmlformats.org/officeDocument/2006/relationships/hyperlink" Target="https://www.fontsquirrel.com/" TargetMode="External"/><Relationship Id="rId1" Type="http://schemas.openxmlformats.org/officeDocument/2006/relationships/hyperlink" Target="http://openculture.com/" TargetMode="External"/><Relationship Id="rId6" Type="http://schemas.openxmlformats.org/officeDocument/2006/relationships/hyperlink" Target="https://unblast.com/" TargetMode="External"/><Relationship Id="rId15" Type="http://schemas.openxmlformats.org/officeDocument/2006/relationships/hyperlink" Target="https://mixkit.co/art/" TargetMode="External"/><Relationship Id="rId23" Type="http://schemas.openxmlformats.org/officeDocument/2006/relationships/hyperlink" Target="https://www.nypl.org/research/collections/digital-collections/public-domain" TargetMode="External"/><Relationship Id="rId28" Type="http://schemas.openxmlformats.org/officeDocument/2006/relationships/hyperlink" Target="http://pixabay.com/" TargetMode="External"/><Relationship Id="rId36" Type="http://schemas.openxmlformats.org/officeDocument/2006/relationships/hyperlink" Target="http://skuawk.com/" TargetMode="External"/><Relationship Id="rId49" Type="http://schemas.openxmlformats.org/officeDocument/2006/relationships/hyperlink" Target="https://www.flaticon.com/" TargetMode="External"/><Relationship Id="rId57" Type="http://schemas.openxmlformats.org/officeDocument/2006/relationships/hyperlink" Target="https://iradesign.io/" TargetMode="External"/><Relationship Id="rId10" Type="http://schemas.openxmlformats.org/officeDocument/2006/relationships/hyperlink" Target="https://depositphotos.com/" TargetMode="External"/><Relationship Id="rId31" Type="http://schemas.openxmlformats.org/officeDocument/2006/relationships/hyperlink" Target="http://publicdomainreview.org/" TargetMode="External"/><Relationship Id="rId44" Type="http://schemas.openxmlformats.org/officeDocument/2006/relationships/hyperlink" Target="https://www.artic.edu/collection?is_public_domain=1" TargetMode="External"/><Relationship Id="rId52" Type="http://schemas.openxmlformats.org/officeDocument/2006/relationships/hyperlink" Target="http://freevectors.net/" TargetMode="External"/><Relationship Id="rId60" Type="http://schemas.openxmlformats.org/officeDocument/2006/relationships/hyperlink" Target="https://library.soundfield.com/" TargetMode="External"/><Relationship Id="rId65" Type="http://schemas.openxmlformats.org/officeDocument/2006/relationships/hyperlink" Target="https://publicdomainvectors.org/" TargetMode="External"/><Relationship Id="rId73" Type="http://schemas.openxmlformats.org/officeDocument/2006/relationships/hyperlink" Target="https://woobro.design/" TargetMode="External"/><Relationship Id="rId78" Type="http://schemas.openxmlformats.org/officeDocument/2006/relationships/hyperlink" Target="http://freesound.org/" TargetMode="External"/><Relationship Id="rId81" Type="http://schemas.openxmlformats.org/officeDocument/2006/relationships/hyperlink" Target="https://mccoyproductions.net/free-music-for-videos/" TargetMode="External"/><Relationship Id="rId86" Type="http://schemas.openxmlformats.org/officeDocument/2006/relationships/hyperlink" Target="http://www.coverr.co/" TargetMode="External"/><Relationship Id="rId94" Type="http://schemas.openxmlformats.org/officeDocument/2006/relationships/hyperlink" Target="http://www.losttype.com/" TargetMode="External"/><Relationship Id="rId99" Type="http://schemas.openxmlformats.org/officeDocument/2006/relationships/hyperlink" Target="https://freebiesbug.com/" TargetMode="External"/><Relationship Id="rId101" Type="http://schemas.openxmlformats.org/officeDocument/2006/relationships/drawing" Target="../drawings/drawing1.xml"/><Relationship Id="rId4" Type="http://schemas.openxmlformats.org/officeDocument/2006/relationships/hyperlink" Target="http://uigoodies.com/" TargetMode="External"/><Relationship Id="rId9" Type="http://schemas.openxmlformats.org/officeDocument/2006/relationships/hyperlink" Target="https://burst.shopify.com/photos" TargetMode="External"/><Relationship Id="rId13" Type="http://schemas.openxmlformats.org/officeDocument/2006/relationships/hyperlink" Target="https://legacy.lib.utexas.edu/maps/" TargetMode="External"/><Relationship Id="rId18" Type="http://schemas.openxmlformats.org/officeDocument/2006/relationships/hyperlink" Target="https://photos.icons8.com/" TargetMode="External"/><Relationship Id="rId39" Type="http://schemas.openxmlformats.org/officeDocument/2006/relationships/hyperlink" Target="https://stocksnap.io/" TargetMode="External"/><Relationship Id="rId34" Type="http://schemas.openxmlformats.org/officeDocument/2006/relationships/hyperlink" Target="http://rightlight.nordwoodthemes.com/" TargetMode="External"/><Relationship Id="rId50" Type="http://schemas.openxmlformats.org/officeDocument/2006/relationships/hyperlink" Target="https://freevectormaps.com/" TargetMode="External"/><Relationship Id="rId55" Type="http://schemas.openxmlformats.org/officeDocument/2006/relationships/hyperlink" Target="https://icons8.com/" TargetMode="External"/><Relationship Id="rId76" Type="http://schemas.openxmlformats.org/officeDocument/2006/relationships/hyperlink" Target="http://dig.ccmixter.org/" TargetMode="External"/><Relationship Id="rId97" Type="http://schemas.openxmlformats.org/officeDocument/2006/relationships/hyperlink" Target="https://www.awwwards.com/awwwards/collections/free-fonts/" TargetMode="External"/><Relationship Id="rId7" Type="http://schemas.openxmlformats.org/officeDocument/2006/relationships/hyperlink" Target="https://www.usgs.gov/media/videos/fly-over-seafloor-northern-channel-islands" TargetMode="External"/><Relationship Id="rId71" Type="http://schemas.openxmlformats.org/officeDocument/2006/relationships/hyperlink" Target="http://www.vectoropenstock.com/" TargetMode="External"/><Relationship Id="rId92" Type="http://schemas.openxmlformats.org/officeDocument/2006/relationships/hyperlink" Target="https://open-foundry.com/" TargetMode="External"/><Relationship Id="rId2" Type="http://schemas.openxmlformats.org/officeDocument/2006/relationships/hyperlink" Target="http://libguides.southernct.edu/openaccess/avimages" TargetMode="External"/><Relationship Id="rId29" Type="http://schemas.openxmlformats.org/officeDocument/2006/relationships/hyperlink" Target="https://public.work/" TargetMode="External"/><Relationship Id="rId24" Type="http://schemas.openxmlformats.org/officeDocument/2006/relationships/hyperlink" Target="http://www.photolib.noaa.gov/index.html" TargetMode="External"/><Relationship Id="rId40" Type="http://schemas.openxmlformats.org/officeDocument/2006/relationships/hyperlink" Target="https://www.stockvault.net/" TargetMode="External"/><Relationship Id="rId45" Type="http://schemas.openxmlformats.org/officeDocument/2006/relationships/hyperlink" Target="http://unsplash.com/" TargetMode="External"/><Relationship Id="rId66" Type="http://schemas.openxmlformats.org/officeDocument/2006/relationships/hyperlink" Target="http://www.stockvault.net/" TargetMode="External"/><Relationship Id="rId87" Type="http://schemas.openxmlformats.org/officeDocument/2006/relationships/hyperlink" Target="http://mazwai.com/" TargetMode="External"/><Relationship Id="rId61" Type="http://schemas.openxmlformats.org/officeDocument/2006/relationships/hyperlink" Target="https://gallery.manypixels.co/" TargetMode="External"/><Relationship Id="rId82" Type="http://schemas.openxmlformats.org/officeDocument/2006/relationships/hyperlink" Target="https://www.macaulaylibrary.org/" TargetMode="External"/><Relationship Id="rId19" Type="http://schemas.openxmlformats.org/officeDocument/2006/relationships/hyperlink" Target="https://morguefile.com/" TargetMode="External"/><Relationship Id="rId14" Type="http://schemas.openxmlformats.org/officeDocument/2006/relationships/hyperlink" Target="https://www.metmuseum.org/art/collection/search" TargetMode="External"/><Relationship Id="rId30" Type="http://schemas.openxmlformats.org/officeDocument/2006/relationships/hyperlink" Target="https://pdimagearchive.org/" TargetMode="External"/><Relationship Id="rId35" Type="http://schemas.openxmlformats.org/officeDocument/2006/relationships/hyperlink" Target="https://www.rijksmuseum.nl/en/rijksstudio" TargetMode="External"/><Relationship Id="rId56" Type="http://schemas.openxmlformats.org/officeDocument/2006/relationships/hyperlink" Target="https://www.ikonate.com/" TargetMode="External"/><Relationship Id="rId77" Type="http://schemas.openxmlformats.org/officeDocument/2006/relationships/hyperlink" Target="http://freemusicarchive.org/" TargetMode="External"/><Relationship Id="rId100" Type="http://schemas.openxmlformats.org/officeDocument/2006/relationships/hyperlink" Target="https://slidescarnival.com/" TargetMode="External"/><Relationship Id="rId8" Type="http://schemas.openxmlformats.org/officeDocument/2006/relationships/hyperlink" Target="https://search.creativecommons.org/" TargetMode="External"/><Relationship Id="rId51" Type="http://schemas.openxmlformats.org/officeDocument/2006/relationships/hyperlink" Target="http://freevectors.net/" TargetMode="External"/><Relationship Id="rId72" Type="http://schemas.openxmlformats.org/officeDocument/2006/relationships/hyperlink" Target="https://www.vexels.com/" TargetMode="External"/><Relationship Id="rId93" Type="http://schemas.openxmlformats.org/officeDocument/2006/relationships/hyperlink" Target="https://www.theleagueofmoveabletype.com/" TargetMode="External"/><Relationship Id="rId98" Type="http://schemas.openxmlformats.org/officeDocument/2006/relationships/hyperlink" Target="https://fonts.google.com/" TargetMode="External"/><Relationship Id="rId3" Type="http://schemas.openxmlformats.org/officeDocument/2006/relationships/hyperlink" Target="https://www.stocki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166"/>
  <sheetViews>
    <sheetView tabSelected="1" topLeftCell="A16" workbookViewId="0"/>
  </sheetViews>
  <sheetFormatPr defaultColWidth="12.6640625" defaultRowHeight="15.75" customHeight="1"/>
  <cols>
    <col min="1" max="1" width="2.44140625" customWidth="1"/>
    <col min="2" max="2" width="28.21875" customWidth="1"/>
    <col min="3" max="3" width="2.33203125" customWidth="1"/>
    <col min="4" max="4" width="59.77734375" customWidth="1"/>
    <col min="5" max="5" width="2.88671875" customWidth="1"/>
    <col min="6" max="6" width="41.21875" customWidth="1"/>
  </cols>
  <sheetData>
    <row r="1" spans="1:26" ht="29.25" customHeight="1">
      <c r="B1" s="1"/>
      <c r="D1" s="2"/>
      <c r="F1" s="3" t="str">
        <f>HYPERLINK("http://creativecommons.org/licenses/by-sa/4.0/","CC Attribution Share-alike")</f>
        <v>CC Attribution Share-alike</v>
      </c>
    </row>
    <row r="2" spans="1:26" ht="13.2">
      <c r="A2" s="4"/>
      <c r="B2" s="5"/>
      <c r="C2" s="4"/>
      <c r="D2" s="6"/>
      <c r="E2" s="4"/>
      <c r="F2" s="4"/>
      <c r="G2" s="4"/>
      <c r="H2" s="4"/>
      <c r="I2" s="4"/>
      <c r="J2" s="4"/>
      <c r="K2" s="4"/>
      <c r="L2" s="4"/>
      <c r="M2" s="4"/>
      <c r="N2" s="4"/>
      <c r="O2" s="4"/>
      <c r="P2" s="4"/>
      <c r="Q2" s="4"/>
      <c r="R2" s="4"/>
      <c r="S2" s="4"/>
      <c r="T2" s="4"/>
      <c r="U2" s="4"/>
      <c r="V2" s="4"/>
      <c r="W2" s="4"/>
      <c r="X2" s="4"/>
      <c r="Y2" s="4"/>
      <c r="Z2" s="4"/>
    </row>
    <row r="3" spans="1:26" ht="44.4">
      <c r="A3" s="4"/>
      <c r="B3" s="56" t="s">
        <v>0</v>
      </c>
      <c r="C3" s="57"/>
      <c r="D3" s="57"/>
      <c r="E3" s="57"/>
      <c r="F3" s="57"/>
      <c r="G3" s="57"/>
      <c r="H3" s="4"/>
      <c r="I3" s="4"/>
      <c r="J3" s="4"/>
      <c r="K3" s="4"/>
      <c r="L3" s="4"/>
      <c r="M3" s="4"/>
      <c r="N3" s="4"/>
      <c r="O3" s="4"/>
      <c r="P3" s="4"/>
      <c r="Q3" s="4"/>
      <c r="R3" s="4"/>
      <c r="S3" s="4"/>
      <c r="T3" s="4"/>
      <c r="U3" s="4"/>
      <c r="V3" s="4"/>
      <c r="W3" s="4"/>
      <c r="X3" s="4"/>
      <c r="Y3" s="4"/>
      <c r="Z3" s="4"/>
    </row>
    <row r="4" spans="1:26" ht="13.2">
      <c r="A4" s="4"/>
      <c r="B4" s="60" t="s">
        <v>1</v>
      </c>
      <c r="C4" s="57"/>
      <c r="D4" s="57"/>
      <c r="E4" s="4"/>
      <c r="F4" s="4"/>
      <c r="G4" s="4"/>
      <c r="H4" s="4"/>
      <c r="I4" s="4"/>
      <c r="J4" s="4"/>
      <c r="K4" s="4"/>
      <c r="L4" s="4"/>
      <c r="M4" s="4"/>
      <c r="N4" s="4"/>
      <c r="O4" s="4"/>
      <c r="P4" s="4"/>
      <c r="Q4" s="4"/>
      <c r="R4" s="4"/>
      <c r="S4" s="4"/>
      <c r="T4" s="4"/>
      <c r="U4" s="4"/>
      <c r="V4" s="4"/>
      <c r="W4" s="4"/>
      <c r="X4" s="4"/>
      <c r="Y4" s="4"/>
      <c r="Z4" s="4"/>
    </row>
    <row r="5" spans="1:26" ht="13.2">
      <c r="A5" s="4"/>
      <c r="B5" s="5"/>
      <c r="C5" s="4"/>
      <c r="D5" s="6"/>
      <c r="E5" s="4"/>
      <c r="F5" s="4"/>
      <c r="G5" s="4"/>
      <c r="H5" s="4"/>
      <c r="I5" s="4"/>
      <c r="J5" s="4"/>
      <c r="K5" s="4"/>
      <c r="L5" s="4"/>
      <c r="M5" s="4"/>
      <c r="N5" s="4"/>
      <c r="O5" s="4"/>
      <c r="P5" s="4"/>
      <c r="Q5" s="4"/>
      <c r="R5" s="4"/>
      <c r="S5" s="4"/>
      <c r="T5" s="4"/>
      <c r="U5" s="4"/>
      <c r="V5" s="4"/>
      <c r="W5" s="4"/>
      <c r="X5" s="4"/>
      <c r="Y5" s="4"/>
      <c r="Z5" s="4"/>
    </row>
    <row r="6" spans="1:26" ht="9.75" customHeight="1">
      <c r="A6" s="7"/>
      <c r="B6" s="8"/>
      <c r="C6" s="7"/>
      <c r="D6" s="2"/>
      <c r="E6" s="7"/>
      <c r="F6" s="7"/>
      <c r="G6" s="7"/>
      <c r="H6" s="7"/>
    </row>
    <row r="7" spans="1:26" ht="15.6">
      <c r="A7" s="9"/>
      <c r="B7" s="10" t="s">
        <v>2</v>
      </c>
      <c r="C7" s="9"/>
      <c r="D7" s="11" t="s">
        <v>3</v>
      </c>
      <c r="E7" s="9"/>
      <c r="F7" s="9" t="s">
        <v>4</v>
      </c>
      <c r="G7" s="12"/>
      <c r="H7" s="9"/>
      <c r="I7" s="9"/>
      <c r="J7" s="9"/>
      <c r="K7" s="9"/>
      <c r="L7" s="9"/>
      <c r="M7" s="9"/>
      <c r="N7" s="9"/>
      <c r="O7" s="9"/>
      <c r="P7" s="9"/>
      <c r="Q7" s="9"/>
      <c r="R7" s="9"/>
      <c r="S7" s="9"/>
      <c r="T7" s="9"/>
      <c r="U7" s="9"/>
      <c r="V7" s="9"/>
      <c r="W7" s="9"/>
      <c r="X7" s="9"/>
      <c r="Y7" s="9"/>
      <c r="Z7" s="9"/>
    </row>
    <row r="8" spans="1:26" ht="9.75" customHeight="1">
      <c r="A8" s="7"/>
      <c r="B8" s="13"/>
      <c r="C8" s="14"/>
      <c r="D8" s="15"/>
      <c r="E8" s="14"/>
      <c r="F8" s="14"/>
      <c r="G8" s="7"/>
      <c r="H8" s="7"/>
    </row>
    <row r="9" spans="1:26" ht="22.8">
      <c r="A9" s="7"/>
      <c r="B9" s="58" t="s">
        <v>5</v>
      </c>
      <c r="C9" s="57"/>
      <c r="D9" s="57"/>
      <c r="E9" s="57"/>
      <c r="F9" s="57"/>
      <c r="G9" s="7"/>
      <c r="H9" s="7"/>
    </row>
    <row r="10" spans="1:26" ht="9.75" customHeight="1">
      <c r="A10" s="7"/>
      <c r="B10" s="8"/>
      <c r="C10" s="7"/>
      <c r="D10" s="2"/>
      <c r="E10" s="7"/>
      <c r="F10" s="7"/>
      <c r="G10" s="7"/>
      <c r="H10" s="7"/>
    </row>
    <row r="11" spans="1:26" ht="26.4">
      <c r="A11" s="7"/>
      <c r="B11" s="8" t="s">
        <v>6</v>
      </c>
      <c r="C11" s="7"/>
      <c r="D11" s="2" t="s">
        <v>7</v>
      </c>
      <c r="E11" s="7"/>
      <c r="F11" s="17" t="s">
        <v>8</v>
      </c>
      <c r="G11" s="7"/>
      <c r="H11" s="7"/>
    </row>
    <row r="12" spans="1:26" ht="26.4">
      <c r="A12" s="7"/>
      <c r="B12" s="8" t="s">
        <v>9</v>
      </c>
      <c r="C12" s="7"/>
      <c r="D12" s="18" t="s">
        <v>10</v>
      </c>
      <c r="E12" s="7"/>
      <c r="F12" s="17" t="s">
        <v>11</v>
      </c>
      <c r="G12" s="7"/>
      <c r="H12" s="7"/>
    </row>
    <row r="13" spans="1:26" ht="13.2">
      <c r="A13" s="7"/>
      <c r="B13" s="8" t="s">
        <v>12</v>
      </c>
      <c r="C13" s="7"/>
      <c r="D13" s="2" t="s">
        <v>13</v>
      </c>
      <c r="E13" s="7"/>
      <c r="F13" s="19" t="s">
        <v>14</v>
      </c>
      <c r="G13" s="7"/>
      <c r="H13" s="7"/>
    </row>
    <row r="14" spans="1:26" ht="39.6">
      <c r="A14" s="7"/>
      <c r="B14" s="8" t="s">
        <v>15</v>
      </c>
      <c r="C14" s="7"/>
      <c r="D14" s="18" t="s">
        <v>16</v>
      </c>
      <c r="E14" s="7"/>
      <c r="F14" s="17" t="s">
        <v>17</v>
      </c>
      <c r="G14" s="7"/>
      <c r="H14" s="7"/>
    </row>
    <row r="15" spans="1:26" ht="79.2">
      <c r="A15" s="7"/>
      <c r="B15" s="8" t="s">
        <v>18</v>
      </c>
      <c r="C15" s="7"/>
      <c r="D15" s="20" t="s">
        <v>19</v>
      </c>
      <c r="E15" s="7"/>
      <c r="F15" s="17" t="s">
        <v>20</v>
      </c>
      <c r="G15" s="7"/>
      <c r="H15" s="7"/>
    </row>
    <row r="16" spans="1:26" ht="66">
      <c r="A16" s="21"/>
      <c r="B16" s="1" t="s">
        <v>21</v>
      </c>
      <c r="C16" s="22"/>
      <c r="D16" s="23" t="s">
        <v>22</v>
      </c>
      <c r="E16" s="22"/>
      <c r="F16" s="24" t="s">
        <v>23</v>
      </c>
      <c r="G16" s="21"/>
      <c r="H16" s="21"/>
      <c r="I16" s="21"/>
      <c r="J16" s="21"/>
      <c r="K16" s="21"/>
      <c r="L16" s="21"/>
      <c r="M16" s="21"/>
      <c r="N16" s="21"/>
      <c r="O16" s="21"/>
      <c r="P16" s="21"/>
      <c r="Q16" s="21"/>
      <c r="R16" s="21"/>
      <c r="S16" s="21"/>
      <c r="T16" s="21"/>
      <c r="U16" s="21"/>
      <c r="V16" s="21"/>
      <c r="W16" s="21"/>
      <c r="X16" s="21"/>
      <c r="Y16" s="21"/>
      <c r="Z16" s="21"/>
    </row>
    <row r="17" spans="1:26" ht="105.6">
      <c r="A17" s="21"/>
      <c r="B17" s="23" t="s">
        <v>24</v>
      </c>
      <c r="C17" s="22"/>
      <c r="D17" s="23" t="s">
        <v>25</v>
      </c>
      <c r="E17" s="22"/>
      <c r="F17" s="25" t="s">
        <v>26</v>
      </c>
      <c r="G17" s="21"/>
      <c r="H17" s="21"/>
      <c r="I17" s="21"/>
      <c r="J17" s="21"/>
      <c r="K17" s="21"/>
      <c r="L17" s="21"/>
      <c r="M17" s="21"/>
      <c r="N17" s="21"/>
      <c r="O17" s="21"/>
      <c r="P17" s="21"/>
      <c r="Q17" s="21"/>
      <c r="R17" s="21"/>
      <c r="S17" s="21"/>
      <c r="T17" s="21"/>
      <c r="U17" s="21"/>
      <c r="V17" s="21"/>
      <c r="W17" s="21"/>
      <c r="X17" s="21"/>
      <c r="Y17" s="21"/>
      <c r="Z17" s="21"/>
    </row>
    <row r="18" spans="1:26" ht="13.2">
      <c r="A18" s="7"/>
      <c r="B18" s="8"/>
      <c r="C18" s="7"/>
      <c r="D18" s="2"/>
      <c r="E18" s="7"/>
      <c r="F18" s="7"/>
      <c r="G18" s="7"/>
      <c r="H18" s="7"/>
    </row>
    <row r="19" spans="1:26" ht="22.8">
      <c r="A19" s="7"/>
      <c r="B19" s="58" t="s">
        <v>27</v>
      </c>
      <c r="C19" s="57"/>
      <c r="D19" s="57"/>
      <c r="E19" s="57"/>
      <c r="F19" s="57"/>
      <c r="G19" s="7"/>
      <c r="H19" s="7"/>
    </row>
    <row r="20" spans="1:26" ht="9.75" customHeight="1">
      <c r="A20" s="7"/>
      <c r="B20" s="8"/>
      <c r="C20" s="7"/>
      <c r="D20" s="2"/>
      <c r="E20" s="7"/>
      <c r="F20" s="7"/>
      <c r="G20" s="7"/>
      <c r="H20" s="7"/>
    </row>
    <row r="21" spans="1:26" ht="13.2">
      <c r="A21" s="7"/>
      <c r="B21" s="26" t="s">
        <v>28</v>
      </c>
      <c r="C21" s="7"/>
      <c r="D21" s="20" t="s">
        <v>29</v>
      </c>
      <c r="E21" s="7"/>
      <c r="F21" s="17" t="s">
        <v>30</v>
      </c>
      <c r="G21" s="7"/>
      <c r="H21" s="7"/>
    </row>
    <row r="22" spans="1:26" ht="26.4">
      <c r="A22" s="7"/>
      <c r="B22" s="26" t="s">
        <v>31</v>
      </c>
      <c r="C22" s="7"/>
      <c r="D22" s="20" t="s">
        <v>32</v>
      </c>
      <c r="E22" s="7"/>
      <c r="F22" s="17" t="s">
        <v>33</v>
      </c>
      <c r="G22" s="7"/>
      <c r="H22" s="7"/>
    </row>
    <row r="23" spans="1:26" ht="79.2">
      <c r="A23" s="7"/>
      <c r="B23" s="8" t="s">
        <v>34</v>
      </c>
      <c r="C23" s="7"/>
      <c r="D23" s="20" t="s">
        <v>35</v>
      </c>
      <c r="E23" s="7"/>
      <c r="F23" s="19" t="s">
        <v>36</v>
      </c>
      <c r="G23" s="7"/>
      <c r="H23" s="7"/>
    </row>
    <row r="24" spans="1:26" ht="52.8">
      <c r="A24" s="7"/>
      <c r="B24" s="8" t="s">
        <v>37</v>
      </c>
      <c r="C24" s="7"/>
      <c r="D24" s="2" t="s">
        <v>38</v>
      </c>
      <c r="E24" s="7"/>
      <c r="F24" s="27" t="s">
        <v>39</v>
      </c>
      <c r="G24" s="7"/>
      <c r="H24" s="7"/>
    </row>
    <row r="25" spans="1:26" ht="26.4">
      <c r="A25" s="7"/>
      <c r="B25" s="8" t="s">
        <v>40</v>
      </c>
      <c r="C25" s="7"/>
      <c r="D25" s="28" t="s">
        <v>41</v>
      </c>
      <c r="E25" s="7"/>
      <c r="F25" s="19" t="s">
        <v>42</v>
      </c>
      <c r="G25" s="7"/>
      <c r="H25" s="7"/>
    </row>
    <row r="26" spans="1:26" ht="26.4">
      <c r="A26" s="7"/>
      <c r="B26" s="8" t="s">
        <v>43</v>
      </c>
      <c r="C26" s="7"/>
      <c r="D26" s="20" t="s">
        <v>44</v>
      </c>
      <c r="E26" s="7"/>
      <c r="F26" s="29" t="s">
        <v>45</v>
      </c>
      <c r="G26" s="7"/>
      <c r="H26" s="7"/>
    </row>
    <row r="27" spans="1:26" ht="39.6">
      <c r="A27" s="7"/>
      <c r="B27" s="8" t="s">
        <v>46</v>
      </c>
      <c r="C27" s="7"/>
      <c r="D27" s="20" t="s">
        <v>47</v>
      </c>
      <c r="E27" s="7"/>
      <c r="F27" s="29" t="s">
        <v>48</v>
      </c>
      <c r="G27" s="7"/>
      <c r="H27" s="7"/>
    </row>
    <row r="28" spans="1:26" ht="13.2">
      <c r="A28" s="7"/>
      <c r="B28" s="30" t="str">
        <f>HYPERLINK("https://mixkit.co/art/","MixKit Art &amp; Illustration")</f>
        <v>MixKit Art &amp; Illustration</v>
      </c>
      <c r="C28" s="7"/>
      <c r="D28" s="20" t="s">
        <v>49</v>
      </c>
      <c r="E28" s="7"/>
      <c r="F28" s="29" t="s">
        <v>50</v>
      </c>
      <c r="G28" s="7"/>
      <c r="H28" s="7"/>
    </row>
    <row r="29" spans="1:26" ht="13.2">
      <c r="A29" s="7"/>
      <c r="B29" s="8" t="s">
        <v>51</v>
      </c>
      <c r="C29" s="7"/>
      <c r="D29" s="28" t="s">
        <v>52</v>
      </c>
      <c r="E29" s="7"/>
      <c r="F29" s="19" t="s">
        <v>53</v>
      </c>
      <c r="G29" s="7"/>
      <c r="H29" s="7"/>
    </row>
    <row r="30" spans="1:26" ht="13.2">
      <c r="A30" s="7"/>
      <c r="B30" s="8" t="s">
        <v>54</v>
      </c>
      <c r="C30" s="7"/>
      <c r="D30" s="31" t="s">
        <v>55</v>
      </c>
      <c r="E30" s="7"/>
      <c r="F30" s="19" t="s">
        <v>56</v>
      </c>
      <c r="G30" s="7"/>
      <c r="H30" s="7"/>
    </row>
    <row r="31" spans="1:26" ht="13.2">
      <c r="A31" s="7"/>
      <c r="B31" s="8" t="s">
        <v>57</v>
      </c>
      <c r="C31" s="7"/>
      <c r="D31" s="32" t="s">
        <v>58</v>
      </c>
      <c r="E31" s="7"/>
      <c r="F31" s="19" t="s">
        <v>59</v>
      </c>
      <c r="G31" s="7"/>
      <c r="H31" s="7"/>
    </row>
    <row r="32" spans="1:26" ht="13.2">
      <c r="A32" s="7"/>
      <c r="B32" s="8" t="s">
        <v>60</v>
      </c>
      <c r="C32" s="7"/>
      <c r="D32" s="32"/>
      <c r="E32" s="7"/>
      <c r="F32" s="19" t="s">
        <v>61</v>
      </c>
      <c r="G32" s="7"/>
      <c r="H32" s="7"/>
    </row>
    <row r="33" spans="1:8" ht="79.2">
      <c r="A33" s="7"/>
      <c r="B33" s="8" t="s">
        <v>62</v>
      </c>
      <c r="C33" s="7"/>
      <c r="D33" s="32" t="s">
        <v>63</v>
      </c>
      <c r="E33" s="7"/>
      <c r="F33" s="19" t="s">
        <v>64</v>
      </c>
      <c r="G33" s="7"/>
      <c r="H33" s="7"/>
    </row>
    <row r="34" spans="1:8" ht="39.6">
      <c r="A34" s="7"/>
      <c r="B34" s="8" t="s">
        <v>65</v>
      </c>
      <c r="C34" s="7"/>
      <c r="D34" s="32" t="s">
        <v>66</v>
      </c>
      <c r="E34" s="7"/>
      <c r="F34" s="33" t="s">
        <v>67</v>
      </c>
      <c r="G34" s="7"/>
      <c r="H34" s="7"/>
    </row>
    <row r="35" spans="1:8" ht="13.2">
      <c r="A35" s="7"/>
      <c r="B35" s="8" t="s">
        <v>68</v>
      </c>
      <c r="C35" s="7"/>
      <c r="D35" s="32" t="s">
        <v>69</v>
      </c>
      <c r="E35" s="7"/>
      <c r="F35" s="33" t="s">
        <v>70</v>
      </c>
      <c r="G35" s="7"/>
      <c r="H35" s="7"/>
    </row>
    <row r="36" spans="1:8" ht="79.2">
      <c r="A36" s="7"/>
      <c r="B36" s="8" t="s">
        <v>71</v>
      </c>
      <c r="C36" s="7"/>
      <c r="D36" s="20" t="s">
        <v>72</v>
      </c>
      <c r="E36" s="7"/>
      <c r="F36" s="33" t="s">
        <v>73</v>
      </c>
      <c r="G36" s="7"/>
      <c r="H36" s="7"/>
    </row>
    <row r="37" spans="1:8" ht="13.2">
      <c r="A37" s="7"/>
      <c r="B37" s="8" t="s">
        <v>74</v>
      </c>
      <c r="C37" s="7"/>
      <c r="D37" s="7" t="s">
        <v>75</v>
      </c>
      <c r="E37" s="7"/>
      <c r="F37" s="19" t="s">
        <v>76</v>
      </c>
      <c r="G37" s="7"/>
      <c r="H37" s="7"/>
    </row>
    <row r="38" spans="1:8" ht="26.4">
      <c r="A38" s="7"/>
      <c r="B38" s="8" t="s">
        <v>77</v>
      </c>
      <c r="C38" s="7"/>
      <c r="D38" s="31" t="s">
        <v>78</v>
      </c>
      <c r="E38" s="7"/>
      <c r="F38" s="19" t="s">
        <v>79</v>
      </c>
      <c r="G38" s="7"/>
      <c r="H38" s="7"/>
    </row>
    <row r="39" spans="1:8" ht="13.2">
      <c r="A39" s="7"/>
      <c r="B39" s="8" t="s">
        <v>80</v>
      </c>
      <c r="C39" s="7"/>
      <c r="D39" s="31" t="s">
        <v>81</v>
      </c>
      <c r="E39" s="7"/>
      <c r="F39" s="33" t="s">
        <v>82</v>
      </c>
      <c r="G39" s="7"/>
      <c r="H39" s="7"/>
    </row>
    <row r="40" spans="1:8" ht="13.2">
      <c r="A40" s="7"/>
      <c r="B40" s="8" t="s">
        <v>83</v>
      </c>
      <c r="C40" s="7"/>
      <c r="D40" s="31" t="s">
        <v>84</v>
      </c>
      <c r="E40" s="7"/>
      <c r="F40" s="33" t="s">
        <v>85</v>
      </c>
      <c r="G40" s="7"/>
      <c r="H40" s="7"/>
    </row>
    <row r="41" spans="1:8" ht="13.2">
      <c r="A41" s="7"/>
      <c r="B41" s="8" t="s">
        <v>86</v>
      </c>
      <c r="C41" s="7"/>
      <c r="D41" s="31" t="s">
        <v>87</v>
      </c>
      <c r="E41" s="7"/>
      <c r="F41" s="19" t="s">
        <v>88</v>
      </c>
      <c r="G41" s="7"/>
      <c r="H41" s="7"/>
    </row>
    <row r="42" spans="1:8" ht="13.2">
      <c r="A42" s="7"/>
      <c r="B42" s="8" t="s">
        <v>89</v>
      </c>
      <c r="C42" s="7"/>
      <c r="D42" s="32" t="s">
        <v>90</v>
      </c>
      <c r="E42" s="7"/>
      <c r="F42" s="33" t="s">
        <v>91</v>
      </c>
      <c r="G42" s="7"/>
      <c r="H42" s="7"/>
    </row>
    <row r="43" spans="1:8" ht="39.6">
      <c r="A43" s="7"/>
      <c r="B43" s="8" t="s">
        <v>92</v>
      </c>
      <c r="C43" s="7"/>
      <c r="D43" s="32" t="s">
        <v>93</v>
      </c>
      <c r="E43" s="7"/>
      <c r="F43" s="33" t="s">
        <v>94</v>
      </c>
      <c r="G43" s="7"/>
      <c r="H43" s="7"/>
    </row>
    <row r="44" spans="1:8" ht="39.6">
      <c r="A44" s="7"/>
      <c r="B44" s="8" t="s">
        <v>95</v>
      </c>
      <c r="C44" s="7"/>
      <c r="D44" s="2" t="s">
        <v>96</v>
      </c>
      <c r="E44" s="7"/>
      <c r="F44" s="19" t="s">
        <v>97</v>
      </c>
      <c r="G44" s="7"/>
      <c r="H44" s="7"/>
    </row>
    <row r="45" spans="1:8" ht="13.2">
      <c r="A45" s="7"/>
      <c r="B45" s="8" t="s">
        <v>98</v>
      </c>
      <c r="C45" s="7"/>
      <c r="D45" s="31" t="s">
        <v>99</v>
      </c>
      <c r="E45" s="7"/>
      <c r="F45" s="19" t="s">
        <v>100</v>
      </c>
      <c r="G45" s="7"/>
      <c r="H45" s="7"/>
    </row>
    <row r="46" spans="1:8" ht="26.4">
      <c r="A46" s="7"/>
      <c r="B46" s="8" t="s">
        <v>101</v>
      </c>
      <c r="C46" s="7"/>
      <c r="D46" s="31" t="s">
        <v>102</v>
      </c>
      <c r="E46" s="7"/>
      <c r="F46" s="19" t="s">
        <v>103</v>
      </c>
      <c r="G46" s="7"/>
      <c r="H46" s="7"/>
    </row>
    <row r="47" spans="1:8" ht="13.2">
      <c r="A47" s="7"/>
      <c r="B47" s="8" t="s">
        <v>104</v>
      </c>
      <c r="C47" s="7"/>
      <c r="D47" s="31" t="s">
        <v>105</v>
      </c>
      <c r="E47" s="7"/>
      <c r="F47" s="19" t="s">
        <v>106</v>
      </c>
      <c r="G47" s="7"/>
      <c r="H47" s="7"/>
    </row>
    <row r="48" spans="1:8" ht="66">
      <c r="A48" s="7"/>
      <c r="B48" s="8" t="s">
        <v>107</v>
      </c>
      <c r="C48" s="7"/>
      <c r="D48" s="32" t="s">
        <v>108</v>
      </c>
      <c r="E48" s="7"/>
      <c r="F48" s="33" t="s">
        <v>109</v>
      </c>
      <c r="G48" s="7"/>
      <c r="H48" s="7"/>
    </row>
    <row r="49" spans="1:8" ht="13.2">
      <c r="A49" s="7"/>
      <c r="B49" s="8" t="s">
        <v>110</v>
      </c>
      <c r="C49" s="7"/>
      <c r="D49" s="31" t="s">
        <v>111</v>
      </c>
      <c r="E49" s="7"/>
      <c r="F49" s="19" t="s">
        <v>112</v>
      </c>
      <c r="G49" s="7"/>
      <c r="H49" s="7"/>
    </row>
    <row r="50" spans="1:8" ht="39.6">
      <c r="A50" s="7"/>
      <c r="B50" s="8" t="s">
        <v>113</v>
      </c>
      <c r="C50" s="7"/>
      <c r="D50" s="2" t="s">
        <v>114</v>
      </c>
      <c r="E50" s="7"/>
      <c r="F50" s="19" t="s">
        <v>115</v>
      </c>
      <c r="G50" s="7"/>
      <c r="H50" s="7"/>
    </row>
    <row r="51" spans="1:8" ht="13.2">
      <c r="A51" s="7"/>
      <c r="B51" s="34" t="s">
        <v>116</v>
      </c>
      <c r="C51" s="7"/>
      <c r="D51" s="2"/>
      <c r="E51" s="7"/>
      <c r="F51" s="19" t="s">
        <v>117</v>
      </c>
      <c r="G51" s="7"/>
      <c r="H51" s="7"/>
    </row>
    <row r="52" spans="1:8" ht="13.2">
      <c r="A52" s="7"/>
      <c r="B52" s="8" t="s">
        <v>118</v>
      </c>
      <c r="C52" s="7"/>
      <c r="D52" s="2" t="s">
        <v>119</v>
      </c>
      <c r="E52" s="7"/>
      <c r="F52" s="19" t="s">
        <v>120</v>
      </c>
      <c r="G52" s="7"/>
      <c r="H52" s="7"/>
    </row>
    <row r="53" spans="1:8" ht="39.6">
      <c r="A53" s="7"/>
      <c r="B53" s="8" t="s">
        <v>121</v>
      </c>
      <c r="C53" s="7"/>
      <c r="D53" s="2" t="s">
        <v>122</v>
      </c>
      <c r="E53" s="7"/>
      <c r="F53" s="19" t="s">
        <v>123</v>
      </c>
      <c r="G53" s="7"/>
      <c r="H53" s="7"/>
    </row>
    <row r="54" spans="1:8" ht="13.2">
      <c r="A54" s="7"/>
      <c r="B54" s="8" t="s">
        <v>124</v>
      </c>
      <c r="C54" s="7"/>
      <c r="D54" s="2" t="s">
        <v>125</v>
      </c>
      <c r="E54" s="7"/>
      <c r="F54" s="19" t="s">
        <v>126</v>
      </c>
      <c r="G54" s="7"/>
      <c r="H54" s="7"/>
    </row>
    <row r="55" spans="1:8" ht="79.2">
      <c r="A55" s="7"/>
      <c r="B55" s="8" t="s">
        <v>127</v>
      </c>
      <c r="C55" s="7"/>
      <c r="D55" s="32" t="s">
        <v>128</v>
      </c>
      <c r="E55" s="7"/>
      <c r="F55" s="33" t="s">
        <v>129</v>
      </c>
      <c r="G55" s="7"/>
      <c r="H55" s="7"/>
    </row>
    <row r="56" spans="1:8" ht="52.8">
      <c r="A56" s="7"/>
      <c r="B56" s="8" t="s">
        <v>130</v>
      </c>
      <c r="C56" s="7"/>
      <c r="D56" s="32" t="s">
        <v>131</v>
      </c>
      <c r="E56" s="7"/>
      <c r="F56" s="33" t="s">
        <v>132</v>
      </c>
      <c r="G56" s="7"/>
      <c r="H56" s="7"/>
    </row>
    <row r="57" spans="1:8" ht="13.2">
      <c r="A57" s="7"/>
      <c r="B57" s="8" t="s">
        <v>133</v>
      </c>
      <c r="C57" s="7"/>
      <c r="D57" s="32"/>
      <c r="E57" s="7"/>
      <c r="F57" s="33" t="s">
        <v>134</v>
      </c>
      <c r="G57" s="7"/>
      <c r="H57" s="7"/>
    </row>
    <row r="58" spans="1:8" ht="22.8">
      <c r="A58" s="7"/>
      <c r="B58" s="35" t="s">
        <v>135</v>
      </c>
      <c r="C58" s="36"/>
      <c r="D58" s="37"/>
      <c r="E58" s="36"/>
      <c r="F58" s="38"/>
      <c r="G58" s="7"/>
      <c r="H58" s="7"/>
    </row>
    <row r="59" spans="1:8" ht="39.6">
      <c r="A59" s="7"/>
      <c r="B59" s="19" t="s">
        <v>136</v>
      </c>
      <c r="C59" s="7"/>
      <c r="D59" s="2" t="s">
        <v>137</v>
      </c>
      <c r="E59" s="7"/>
      <c r="F59" s="17" t="s">
        <v>138</v>
      </c>
      <c r="G59" s="7"/>
      <c r="H59" s="7"/>
    </row>
    <row r="60" spans="1:8" ht="39.6">
      <c r="A60" s="7"/>
      <c r="B60" s="30" t="str">
        <f>HYPERLINK("https://www.drawkit.io","DrawKit")</f>
        <v>DrawKit</v>
      </c>
      <c r="C60" s="7"/>
      <c r="D60" s="2" t="s">
        <v>139</v>
      </c>
      <c r="E60" s="7"/>
      <c r="F60" s="19" t="s">
        <v>140</v>
      </c>
      <c r="G60" s="7"/>
      <c r="H60" s="7"/>
    </row>
    <row r="61" spans="1:8" ht="26.4">
      <c r="A61" s="7"/>
      <c r="B61" s="30" t="str">
        <f>HYPERLINK("https://www.flaticon.com/","Flat Icons")</f>
        <v>Flat Icons</v>
      </c>
      <c r="C61" s="7"/>
      <c r="D61" s="2" t="s">
        <v>141</v>
      </c>
      <c r="E61" s="7"/>
      <c r="F61" s="19" t="s">
        <v>142</v>
      </c>
      <c r="G61" s="7"/>
      <c r="H61" s="7"/>
    </row>
    <row r="62" spans="1:8" ht="52.8">
      <c r="A62" s="7"/>
      <c r="B62" s="30" t="str">
        <f>HYPERLINK("https://freevectormaps.com/","Free Vector Maps")</f>
        <v>Free Vector Maps</v>
      </c>
      <c r="C62" s="7"/>
      <c r="D62" s="2" t="s">
        <v>143</v>
      </c>
      <c r="E62" s="7"/>
      <c r="F62" s="19" t="s">
        <v>144</v>
      </c>
      <c r="G62" s="7"/>
      <c r="H62" s="7"/>
    </row>
    <row r="63" spans="1:8" ht="26.4">
      <c r="A63" s="7"/>
      <c r="B63" s="19" t="s">
        <v>145</v>
      </c>
      <c r="C63" s="7"/>
      <c r="D63" s="2" t="s">
        <v>146</v>
      </c>
      <c r="E63" s="7"/>
      <c r="F63" s="17" t="s">
        <v>147</v>
      </c>
      <c r="G63" s="7"/>
      <c r="H63" s="7"/>
    </row>
    <row r="64" spans="1:8" ht="26.4">
      <c r="A64" s="7"/>
      <c r="B64" s="33" t="str">
        <f>HYPERLINK("https://www.humaaans.com","humaaans")</f>
        <v>humaaans</v>
      </c>
      <c r="C64" s="7"/>
      <c r="D64" s="2" t="s">
        <v>148</v>
      </c>
      <c r="E64" s="7"/>
      <c r="F64" s="33" t="s">
        <v>149</v>
      </c>
      <c r="G64" s="7"/>
      <c r="H64" s="7"/>
    </row>
    <row r="65" spans="1:8" ht="26.4">
      <c r="A65" s="7"/>
      <c r="B65" s="33" t="str">
        <f>HYPERLINK("https://iconmonstr.com/","Icon Monstr")</f>
        <v>Icon Monstr</v>
      </c>
      <c r="C65" s="7"/>
      <c r="D65" s="2" t="s">
        <v>150</v>
      </c>
      <c r="E65" s="7"/>
      <c r="F65" s="19" t="s">
        <v>151</v>
      </c>
      <c r="G65" s="7"/>
      <c r="H65" s="7"/>
    </row>
    <row r="66" spans="1:8" ht="13.2">
      <c r="A66" s="7"/>
      <c r="B66" s="33" t="str">
        <f>HYPERLINK("https://icons8.com","Icons8 Ouch")</f>
        <v>Icons8 Ouch</v>
      </c>
      <c r="C66" s="7"/>
      <c r="D66" s="26" t="s">
        <v>152</v>
      </c>
      <c r="E66" s="7"/>
      <c r="F66" s="17" t="s">
        <v>153</v>
      </c>
      <c r="G66" s="7"/>
      <c r="H66" s="7"/>
    </row>
    <row r="67" spans="1:8" ht="13.2">
      <c r="A67" s="7"/>
      <c r="B67" s="33" t="str">
        <f>HYPERLINK("https://www.ikonate.com/","Ikonate")</f>
        <v>Ikonate</v>
      </c>
      <c r="C67" s="7"/>
      <c r="D67" s="26" t="s">
        <v>154</v>
      </c>
      <c r="E67" s="7"/>
      <c r="F67" s="17" t="s">
        <v>155</v>
      </c>
      <c r="G67" s="7"/>
      <c r="H67" s="7"/>
    </row>
    <row r="68" spans="1:8" ht="13.2">
      <c r="A68" s="7"/>
      <c r="B68" s="33" t="str">
        <f>HYPERLINK("https://iradesign.io","Ira Design")</f>
        <v>Ira Design</v>
      </c>
      <c r="C68" s="7"/>
      <c r="D68" s="26" t="s">
        <v>156</v>
      </c>
      <c r="E68" s="7"/>
      <c r="F68" s="17" t="s">
        <v>157</v>
      </c>
      <c r="G68" s="7"/>
      <c r="H68" s="7"/>
    </row>
    <row r="69" spans="1:8" ht="13.2">
      <c r="A69" s="7"/>
      <c r="B69" s="33" t="str">
        <f>HYPERLINK("https://isoflat.com","IsoFlat")</f>
        <v>IsoFlat</v>
      </c>
      <c r="C69" s="7"/>
      <c r="D69" s="26" t="s">
        <v>158</v>
      </c>
      <c r="E69" s="7"/>
      <c r="F69" s="17" t="s">
        <v>159</v>
      </c>
      <c r="G69" s="7"/>
      <c r="H69" s="7"/>
    </row>
    <row r="70" spans="1:8" ht="13.2">
      <c r="A70" s="7"/>
      <c r="B70" s="33" t="str">
        <f>HYPERLINK("https://isometric.online/","Isometric")</f>
        <v>Isometric</v>
      </c>
      <c r="C70" s="7"/>
      <c r="D70" s="26" t="s">
        <v>160</v>
      </c>
      <c r="E70" s="7"/>
      <c r="F70" s="17" t="s">
        <v>161</v>
      </c>
      <c r="G70" s="7"/>
      <c r="H70" s="7"/>
    </row>
    <row r="71" spans="1:8" ht="13.2">
      <c r="A71" s="7"/>
      <c r="B71" s="26" t="s">
        <v>162</v>
      </c>
      <c r="C71" s="7"/>
      <c r="D71" s="26" t="s">
        <v>163</v>
      </c>
      <c r="E71" s="7"/>
      <c r="F71" s="17" t="s">
        <v>164</v>
      </c>
      <c r="G71" s="7"/>
      <c r="H71" s="7"/>
    </row>
    <row r="72" spans="1:8" ht="13.2">
      <c r="A72" s="7"/>
      <c r="B72" s="33" t="str">
        <f>HYPERLINK("https://gallery.manypixels.co","ManyPixels")</f>
        <v>ManyPixels</v>
      </c>
      <c r="C72" s="7"/>
      <c r="D72" s="26" t="s">
        <v>165</v>
      </c>
      <c r="E72" s="7"/>
      <c r="F72" s="17" t="s">
        <v>166</v>
      </c>
      <c r="G72" s="7"/>
      <c r="H72" s="7"/>
    </row>
    <row r="73" spans="1:8" ht="13.2">
      <c r="A73" s="7"/>
      <c r="B73" s="33" t="str">
        <f>HYPERLINK("https://mixkit.co/","MixKit")</f>
        <v>MixKit</v>
      </c>
      <c r="C73" s="7"/>
      <c r="D73" s="26" t="s">
        <v>167</v>
      </c>
      <c r="E73" s="7"/>
      <c r="F73" s="17" t="s">
        <v>168</v>
      </c>
      <c r="G73" s="7"/>
      <c r="H73" s="7"/>
    </row>
    <row r="74" spans="1:8" ht="13.2">
      <c r="A74" s="7"/>
      <c r="B74" s="19" t="s">
        <v>169</v>
      </c>
      <c r="C74" s="7"/>
      <c r="D74" s="2" t="s">
        <v>170</v>
      </c>
      <c r="E74" s="7"/>
      <c r="F74" s="17" t="s">
        <v>171</v>
      </c>
      <c r="G74" s="7"/>
      <c r="H74" s="7"/>
    </row>
    <row r="75" spans="1:8" ht="39.6">
      <c r="A75" s="7"/>
      <c r="B75" s="8" t="s">
        <v>172</v>
      </c>
      <c r="C75" s="7"/>
      <c r="D75" s="2" t="s">
        <v>173</v>
      </c>
      <c r="E75" s="7"/>
      <c r="F75" s="19" t="s">
        <v>174</v>
      </c>
      <c r="G75" s="7"/>
      <c r="H75" s="7"/>
    </row>
    <row r="76" spans="1:8" ht="39.6">
      <c r="A76" s="7"/>
      <c r="B76" s="33" t="str">
        <f>HYPERLINK("http://www.stockvault.net/","StockVault")</f>
        <v>StockVault</v>
      </c>
      <c r="C76" s="7"/>
      <c r="D76" s="20" t="s">
        <v>175</v>
      </c>
      <c r="E76" s="7"/>
      <c r="F76" s="17" t="s">
        <v>176</v>
      </c>
      <c r="G76" s="7"/>
      <c r="H76" s="7"/>
    </row>
    <row r="77" spans="1:8" ht="26.4">
      <c r="A77" s="7"/>
      <c r="B77" s="33" t="str">
        <f>HYPERLINK("https://www.stockio.com/","Stockio")</f>
        <v>Stockio</v>
      </c>
      <c r="C77" s="7"/>
      <c r="D77" s="20" t="s">
        <v>177</v>
      </c>
      <c r="E77" s="7"/>
      <c r="F77" s="17" t="s">
        <v>178</v>
      </c>
      <c r="G77" s="7"/>
      <c r="H77" s="7"/>
    </row>
    <row r="78" spans="1:8" ht="26.4">
      <c r="A78" s="7"/>
      <c r="B78" s="19" t="s">
        <v>179</v>
      </c>
      <c r="C78" s="7"/>
      <c r="D78" s="2" t="s">
        <v>180</v>
      </c>
      <c r="E78" s="7"/>
      <c r="F78" s="17" t="s">
        <v>181</v>
      </c>
      <c r="G78" s="7"/>
      <c r="H78" s="7"/>
    </row>
    <row r="79" spans="1:8" ht="26.4">
      <c r="A79" s="7"/>
      <c r="B79" s="19" t="s">
        <v>182</v>
      </c>
      <c r="C79" s="7"/>
      <c r="D79" s="2" t="s">
        <v>183</v>
      </c>
      <c r="E79" s="7"/>
      <c r="F79" s="17" t="s">
        <v>184</v>
      </c>
      <c r="G79" s="7"/>
      <c r="H79" s="7"/>
    </row>
    <row r="80" spans="1:8" ht="13.2">
      <c r="A80" s="7"/>
      <c r="B80" s="30" t="str">
        <f>HYPERLINK("https://www.vexels.com/","Vexels")</f>
        <v>Vexels</v>
      </c>
      <c r="C80" s="7"/>
      <c r="D80" s="2" t="s">
        <v>185</v>
      </c>
      <c r="E80" s="7"/>
      <c r="F80" s="19" t="s">
        <v>186</v>
      </c>
      <c r="G80" s="7"/>
      <c r="H80" s="7"/>
    </row>
    <row r="81" spans="1:8" ht="13.2">
      <c r="A81" s="7"/>
      <c r="B81" s="33" t="str">
        <f>HYPERLINK("https://woobro.design/","WooBro")</f>
        <v>WooBro</v>
      </c>
      <c r="C81" s="7"/>
      <c r="D81" s="2" t="s">
        <v>187</v>
      </c>
      <c r="E81" s="7"/>
      <c r="F81" s="17" t="s">
        <v>188</v>
      </c>
      <c r="G81" s="7"/>
      <c r="H81" s="7"/>
    </row>
    <row r="82" spans="1:8" ht="22.8">
      <c r="A82" s="7"/>
      <c r="B82" s="35" t="s">
        <v>189</v>
      </c>
      <c r="C82" s="16"/>
      <c r="D82" s="16"/>
      <c r="E82" s="16"/>
      <c r="F82" s="16"/>
      <c r="G82" s="7"/>
      <c r="H82" s="7"/>
    </row>
    <row r="83" spans="1:8" ht="9.75" customHeight="1">
      <c r="A83" s="7"/>
      <c r="B83" s="8"/>
      <c r="C83" s="7"/>
      <c r="D83" s="2"/>
      <c r="E83" s="7"/>
      <c r="F83" s="7"/>
      <c r="G83" s="7"/>
      <c r="H83" s="7"/>
    </row>
    <row r="84" spans="1:8" ht="52.8">
      <c r="A84" s="7"/>
      <c r="B84" s="8" t="s">
        <v>190</v>
      </c>
      <c r="C84" s="7"/>
      <c r="D84" s="2" t="s">
        <v>191</v>
      </c>
      <c r="E84" s="7"/>
      <c r="F84" s="19" t="s">
        <v>192</v>
      </c>
      <c r="G84" s="7"/>
      <c r="H84" s="7"/>
    </row>
    <row r="85" spans="1:8" ht="79.2">
      <c r="A85" s="7"/>
      <c r="B85" s="8" t="s">
        <v>193</v>
      </c>
      <c r="C85" s="7"/>
      <c r="D85" s="2" t="s">
        <v>194</v>
      </c>
      <c r="E85" s="7"/>
      <c r="F85" s="17" t="s">
        <v>195</v>
      </c>
      <c r="G85" s="7"/>
      <c r="H85" s="7"/>
    </row>
    <row r="86" spans="1:8" ht="105.6">
      <c r="A86" s="7"/>
      <c r="B86" s="8" t="s">
        <v>196</v>
      </c>
      <c r="C86" s="7"/>
      <c r="D86" s="2" t="s">
        <v>197</v>
      </c>
      <c r="E86" s="7"/>
      <c r="F86" s="17" t="s">
        <v>198</v>
      </c>
      <c r="G86" s="7"/>
      <c r="H86" s="7"/>
    </row>
    <row r="87" spans="1:8" ht="52.8">
      <c r="A87" s="7"/>
      <c r="B87" s="8" t="s">
        <v>199</v>
      </c>
      <c r="C87" s="7"/>
      <c r="D87" s="2" t="s">
        <v>200</v>
      </c>
      <c r="E87" s="7"/>
      <c r="F87" s="17" t="s">
        <v>201</v>
      </c>
      <c r="G87" s="7"/>
      <c r="H87" s="7"/>
    </row>
    <row r="88" spans="1:8" ht="34.799999999999997">
      <c r="A88" s="7"/>
      <c r="B88" s="8" t="s">
        <v>202</v>
      </c>
      <c r="C88" s="7"/>
      <c r="D88" s="39" t="s">
        <v>203</v>
      </c>
      <c r="E88" s="7"/>
      <c r="F88" s="19" t="s">
        <v>204</v>
      </c>
      <c r="G88" s="7"/>
      <c r="H88" s="7"/>
    </row>
    <row r="89" spans="1:8" ht="13.2">
      <c r="A89" s="7"/>
      <c r="B89" s="8" t="s">
        <v>205</v>
      </c>
      <c r="C89" s="7"/>
      <c r="D89" s="2" t="s">
        <v>206</v>
      </c>
      <c r="E89" s="7"/>
      <c r="F89" s="19" t="s">
        <v>207</v>
      </c>
      <c r="G89" s="7"/>
      <c r="H89" s="7"/>
    </row>
    <row r="90" spans="1:8" ht="26.4">
      <c r="A90" s="7"/>
      <c r="B90" s="30" t="str">
        <f>HYPERLINK("https://www.jamendo.com/﻿","Jamendo")</f>
        <v>Jamendo</v>
      </c>
      <c r="C90" s="7"/>
      <c r="D90" s="2" t="s">
        <v>208</v>
      </c>
      <c r="E90" s="7"/>
      <c r="F90" s="19" t="s">
        <v>209</v>
      </c>
      <c r="G90" s="7"/>
      <c r="H90" s="7"/>
    </row>
    <row r="91" spans="1:8" ht="13.2">
      <c r="A91" s="7"/>
      <c r="B91" s="8" t="s">
        <v>210</v>
      </c>
      <c r="C91" s="7"/>
      <c r="D91" s="2"/>
      <c r="E91" s="7"/>
      <c r="F91" s="19" t="s">
        <v>211</v>
      </c>
      <c r="G91" s="7"/>
      <c r="H91" s="7"/>
    </row>
    <row r="92" spans="1:8" ht="26.4">
      <c r="A92" s="7"/>
      <c r="B92" s="8" t="s">
        <v>212</v>
      </c>
      <c r="C92" s="7"/>
      <c r="D92" s="2" t="s">
        <v>213</v>
      </c>
      <c r="E92" s="7"/>
      <c r="F92" s="19" t="s">
        <v>214</v>
      </c>
      <c r="G92" s="7"/>
      <c r="H92" s="7"/>
    </row>
    <row r="93" spans="1:8" ht="79.2">
      <c r="A93" s="7"/>
      <c r="B93" s="8" t="s">
        <v>215</v>
      </c>
      <c r="C93" s="7"/>
      <c r="D93" s="2" t="s">
        <v>216</v>
      </c>
      <c r="E93" s="7"/>
      <c r="F93" s="19" t="s">
        <v>217</v>
      </c>
      <c r="G93" s="7"/>
      <c r="H93" s="7"/>
    </row>
    <row r="94" spans="1:8" ht="13.2">
      <c r="A94" s="7"/>
      <c r="B94" s="30" t="str">
        <f>HYPERLINK("https://www.unminus.com/","Unminus")</f>
        <v>Unminus</v>
      </c>
      <c r="C94" s="7"/>
      <c r="D94" s="2" t="s">
        <v>218</v>
      </c>
      <c r="E94" s="7"/>
      <c r="F94" s="19" t="s">
        <v>219</v>
      </c>
      <c r="G94" s="7"/>
      <c r="H94" s="7"/>
    </row>
    <row r="95" spans="1:8" ht="92.4">
      <c r="A95" s="7"/>
      <c r="B95" s="8" t="s">
        <v>220</v>
      </c>
      <c r="C95" s="7"/>
      <c r="D95" s="2" t="s">
        <v>221</v>
      </c>
      <c r="E95" s="7"/>
      <c r="F95" s="40" t="s">
        <v>222</v>
      </c>
      <c r="G95" s="7"/>
      <c r="H95" s="7"/>
    </row>
    <row r="96" spans="1:8" ht="22.8">
      <c r="A96" s="7"/>
      <c r="B96" s="58" t="s">
        <v>223</v>
      </c>
      <c r="C96" s="57"/>
      <c r="D96" s="57"/>
      <c r="E96" s="57"/>
      <c r="F96" s="57"/>
      <c r="G96" s="7"/>
      <c r="H96" s="7"/>
    </row>
    <row r="97" spans="1:8" ht="9.75" customHeight="1">
      <c r="A97" s="7"/>
      <c r="B97" s="8"/>
      <c r="C97" s="7"/>
      <c r="D97" s="2"/>
      <c r="E97" s="7"/>
      <c r="F97" s="7"/>
      <c r="G97" s="7"/>
      <c r="H97" s="7"/>
    </row>
    <row r="98" spans="1:8" ht="13.2">
      <c r="A98" s="7"/>
      <c r="B98" s="8" t="s">
        <v>224</v>
      </c>
      <c r="C98" s="7"/>
      <c r="D98" s="2" t="s">
        <v>225</v>
      </c>
      <c r="E98" s="7"/>
      <c r="F98" s="19" t="s">
        <v>226</v>
      </c>
      <c r="G98" s="7"/>
      <c r="H98" s="7"/>
    </row>
    <row r="99" spans="1:8" ht="26.4">
      <c r="A99" s="7"/>
      <c r="B99" s="8" t="s">
        <v>227</v>
      </c>
      <c r="C99" s="7"/>
      <c r="D99" s="2" t="s">
        <v>228</v>
      </c>
      <c r="E99" s="7"/>
      <c r="F99" s="33" t="s">
        <v>229</v>
      </c>
      <c r="G99" s="7"/>
      <c r="H99" s="7"/>
    </row>
    <row r="100" spans="1:8" ht="105.6">
      <c r="A100" s="7"/>
      <c r="B100" s="8" t="s">
        <v>230</v>
      </c>
      <c r="C100" s="7"/>
      <c r="D100" s="2" t="s">
        <v>231</v>
      </c>
      <c r="E100" s="7"/>
      <c r="F100" s="19" t="s">
        <v>232</v>
      </c>
      <c r="G100" s="7"/>
      <c r="H100" s="7"/>
    </row>
    <row r="101" spans="1:8" ht="52.8">
      <c r="A101" s="7"/>
      <c r="B101" s="8" t="s">
        <v>233</v>
      </c>
      <c r="C101" s="7"/>
      <c r="D101" s="2" t="s">
        <v>234</v>
      </c>
      <c r="E101" s="7"/>
      <c r="F101" s="19" t="s">
        <v>235</v>
      </c>
      <c r="G101" s="7"/>
      <c r="H101" s="7"/>
    </row>
    <row r="102" spans="1:8" ht="13.2">
      <c r="A102" s="7"/>
      <c r="B102" s="8" t="s">
        <v>236</v>
      </c>
      <c r="C102" s="7"/>
      <c r="D102" s="2" t="s">
        <v>237</v>
      </c>
      <c r="E102" s="7"/>
      <c r="F102" s="17" t="s">
        <v>238</v>
      </c>
      <c r="G102" s="7"/>
      <c r="H102" s="7"/>
    </row>
    <row r="103" spans="1:8" ht="13.2">
      <c r="A103" s="7"/>
      <c r="B103" s="8" t="s">
        <v>239</v>
      </c>
      <c r="C103" s="7"/>
      <c r="D103" s="2" t="s">
        <v>240</v>
      </c>
      <c r="E103" s="7"/>
      <c r="F103" s="17" t="s">
        <v>241</v>
      </c>
      <c r="G103" s="7"/>
      <c r="H103" s="7"/>
    </row>
    <row r="104" spans="1:8" ht="13.2">
      <c r="A104" s="7"/>
      <c r="B104" s="8"/>
      <c r="C104" s="7"/>
      <c r="D104" s="2"/>
      <c r="E104" s="7"/>
      <c r="F104" s="7"/>
      <c r="G104" s="7"/>
      <c r="H104" s="7"/>
    </row>
    <row r="105" spans="1:8" ht="22.8">
      <c r="A105" s="7"/>
      <c r="B105" s="58" t="s">
        <v>242</v>
      </c>
      <c r="C105" s="57"/>
      <c r="D105" s="57"/>
      <c r="E105" s="57"/>
      <c r="F105" s="57"/>
      <c r="G105" s="7"/>
      <c r="H105" s="7"/>
    </row>
    <row r="106" spans="1:8" ht="66">
      <c r="A106" s="7"/>
      <c r="B106" s="8" t="s">
        <v>243</v>
      </c>
      <c r="C106" s="41"/>
      <c r="D106" s="42" t="s">
        <v>244</v>
      </c>
      <c r="E106" s="41"/>
      <c r="F106" s="43" t="s">
        <v>245</v>
      </c>
      <c r="G106" s="7"/>
      <c r="H106" s="7"/>
    </row>
    <row r="107" spans="1:8" ht="52.8">
      <c r="A107" s="7"/>
      <c r="B107" s="8" t="s">
        <v>246</v>
      </c>
      <c r="C107" s="41"/>
      <c r="D107" s="42" t="s">
        <v>247</v>
      </c>
      <c r="E107" s="41"/>
      <c r="F107" s="34" t="s">
        <v>248</v>
      </c>
      <c r="G107" s="7"/>
      <c r="H107" s="7"/>
    </row>
    <row r="108" spans="1:8" ht="52.8">
      <c r="A108" s="7"/>
      <c r="B108" s="8" t="s">
        <v>249</v>
      </c>
      <c r="C108" s="41"/>
      <c r="D108" s="42" t="s">
        <v>250</v>
      </c>
      <c r="E108" s="41"/>
      <c r="F108" s="34" t="s">
        <v>251</v>
      </c>
      <c r="G108" s="7"/>
      <c r="H108" s="7"/>
    </row>
    <row r="109" spans="1:8" ht="39.6">
      <c r="A109" s="7"/>
      <c r="B109" s="8" t="s">
        <v>252</v>
      </c>
      <c r="C109" s="41"/>
      <c r="D109" s="20" t="s">
        <v>253</v>
      </c>
      <c r="E109" s="41"/>
      <c r="F109" s="34" t="s">
        <v>254</v>
      </c>
      <c r="G109" s="7"/>
      <c r="H109" s="7"/>
    </row>
    <row r="110" spans="1:8" ht="52.8">
      <c r="A110" s="7"/>
      <c r="B110" s="8" t="s">
        <v>255</v>
      </c>
      <c r="C110" s="41"/>
      <c r="D110" s="42" t="s">
        <v>256</v>
      </c>
      <c r="E110" s="41"/>
      <c r="F110" s="34" t="s">
        <v>257</v>
      </c>
      <c r="G110" s="7"/>
      <c r="H110" s="7"/>
    </row>
    <row r="111" spans="1:8" ht="52.8">
      <c r="A111" s="7"/>
      <c r="B111" s="8" t="s">
        <v>258</v>
      </c>
      <c r="C111" s="41"/>
      <c r="D111" s="42" t="s">
        <v>259</v>
      </c>
      <c r="E111" s="41"/>
      <c r="F111" s="34" t="s">
        <v>260</v>
      </c>
      <c r="G111" s="7"/>
      <c r="H111" s="7"/>
    </row>
    <row r="112" spans="1:8" ht="52.8">
      <c r="A112" s="7"/>
      <c r="B112" s="8" t="s">
        <v>261</v>
      </c>
      <c r="C112" s="41"/>
      <c r="D112" s="42" t="s">
        <v>262</v>
      </c>
      <c r="E112" s="41"/>
      <c r="F112" s="34" t="s">
        <v>263</v>
      </c>
      <c r="G112" s="7"/>
      <c r="H112" s="7"/>
    </row>
    <row r="113" spans="1:26" ht="13.2">
      <c r="A113" s="7"/>
      <c r="B113" s="59" t="s">
        <v>264</v>
      </c>
      <c r="C113" s="57"/>
      <c r="D113" s="57"/>
      <c r="E113" s="57"/>
      <c r="F113" s="57"/>
      <c r="G113" s="7"/>
      <c r="H113" s="7"/>
    </row>
    <row r="114" spans="1:26" ht="13.2">
      <c r="A114" s="7"/>
      <c r="B114" s="41"/>
      <c r="C114" s="41"/>
      <c r="D114" s="41"/>
      <c r="E114" s="41"/>
      <c r="F114" s="41"/>
      <c r="G114" s="7"/>
      <c r="H114" s="7"/>
    </row>
    <row r="115" spans="1:26" ht="22.8">
      <c r="A115" s="44"/>
      <c r="B115" s="58" t="s">
        <v>265</v>
      </c>
      <c r="C115" s="57"/>
      <c r="D115" s="57"/>
      <c r="E115" s="57"/>
      <c r="F115" s="57"/>
      <c r="G115" s="44"/>
      <c r="H115" s="44"/>
      <c r="I115" s="44"/>
      <c r="J115" s="44"/>
      <c r="K115" s="44"/>
      <c r="L115" s="44"/>
      <c r="M115" s="44"/>
      <c r="N115" s="44"/>
      <c r="O115" s="44"/>
      <c r="P115" s="44"/>
      <c r="Q115" s="44"/>
      <c r="R115" s="44"/>
      <c r="S115" s="44"/>
      <c r="T115" s="44"/>
      <c r="U115" s="44"/>
      <c r="V115" s="44"/>
      <c r="W115" s="44"/>
      <c r="X115" s="44"/>
      <c r="Y115" s="44"/>
      <c r="Z115" s="44"/>
    </row>
    <row r="116" spans="1:26" ht="52.8">
      <c r="A116" s="21"/>
      <c r="B116" s="1" t="s">
        <v>266</v>
      </c>
      <c r="C116" s="22"/>
      <c r="D116" s="23" t="s">
        <v>267</v>
      </c>
      <c r="E116" s="22"/>
      <c r="F116" s="45" t="s">
        <v>268</v>
      </c>
      <c r="G116" s="21"/>
      <c r="H116" s="21"/>
      <c r="I116" s="21"/>
      <c r="J116" s="21"/>
      <c r="K116" s="21"/>
      <c r="L116" s="21"/>
      <c r="M116" s="21"/>
      <c r="N116" s="21"/>
      <c r="O116" s="21"/>
      <c r="P116" s="21"/>
      <c r="Q116" s="21"/>
      <c r="R116" s="21"/>
      <c r="S116" s="21"/>
      <c r="T116" s="21"/>
      <c r="U116" s="21"/>
      <c r="V116" s="21"/>
      <c r="W116" s="21"/>
      <c r="X116" s="21"/>
      <c r="Y116" s="21"/>
      <c r="Z116" s="21"/>
    </row>
    <row r="117" spans="1:26" ht="26.4">
      <c r="A117" s="44"/>
      <c r="B117" s="46" t="s">
        <v>269</v>
      </c>
      <c r="C117" s="22"/>
      <c r="D117" s="47" t="s">
        <v>270</v>
      </c>
      <c r="E117" s="22"/>
      <c r="F117" s="48" t="s">
        <v>271</v>
      </c>
      <c r="G117" s="44"/>
      <c r="H117" s="44"/>
      <c r="I117" s="44"/>
      <c r="J117" s="44"/>
      <c r="K117" s="44"/>
      <c r="L117" s="44"/>
      <c r="M117" s="44"/>
      <c r="N117" s="44"/>
      <c r="O117" s="44"/>
      <c r="P117" s="44"/>
      <c r="Q117" s="44"/>
      <c r="R117" s="44"/>
      <c r="S117" s="44"/>
      <c r="T117" s="44"/>
      <c r="U117" s="44"/>
      <c r="V117" s="44"/>
      <c r="W117" s="44"/>
      <c r="X117" s="44"/>
      <c r="Y117" s="44"/>
      <c r="Z117" s="44"/>
    </row>
    <row r="118" spans="1:26" ht="22.8">
      <c r="A118" s="44"/>
      <c r="B118" s="22"/>
      <c r="C118" s="22"/>
      <c r="D118" s="22"/>
      <c r="E118" s="22"/>
      <c r="F118" s="22"/>
      <c r="G118" s="44"/>
      <c r="H118" s="44"/>
      <c r="I118" s="44"/>
      <c r="J118" s="44"/>
      <c r="K118" s="44"/>
      <c r="L118" s="44"/>
      <c r="M118" s="44"/>
      <c r="N118" s="44"/>
      <c r="O118" s="44"/>
      <c r="P118" s="44"/>
      <c r="Q118" s="44"/>
      <c r="R118" s="44"/>
      <c r="S118" s="44"/>
      <c r="T118" s="44"/>
      <c r="U118" s="44"/>
      <c r="V118" s="44"/>
      <c r="W118" s="44"/>
      <c r="X118" s="44"/>
      <c r="Y118" s="44"/>
      <c r="Z118" s="44"/>
    </row>
    <row r="119" spans="1:26" ht="13.8">
      <c r="B119" s="53" t="s">
        <v>272</v>
      </c>
    </row>
    <row r="120" spans="1:26" ht="13.2"/>
    <row r="121" spans="1:26" ht="13.2">
      <c r="B121" s="54" t="s">
        <v>273</v>
      </c>
      <c r="D121" s="54" t="s">
        <v>274</v>
      </c>
      <c r="F121" s="55" t="s">
        <v>275</v>
      </c>
    </row>
    <row r="122" spans="1:26" ht="13.2">
      <c r="B122" s="54" t="s">
        <v>276</v>
      </c>
      <c r="D122" s="54" t="s">
        <v>277</v>
      </c>
      <c r="F122" s="55" t="s">
        <v>278</v>
      </c>
    </row>
    <row r="123" spans="1:26" ht="13.2">
      <c r="B123" s="54" t="s">
        <v>279</v>
      </c>
      <c r="D123" s="54" t="s">
        <v>280</v>
      </c>
      <c r="F123" s="55" t="s">
        <v>281</v>
      </c>
    </row>
    <row r="124" spans="1:26" ht="13.2">
      <c r="B124" s="54" t="s">
        <v>282</v>
      </c>
      <c r="D124" s="54" t="s">
        <v>283</v>
      </c>
      <c r="F124" s="55" t="s">
        <v>284</v>
      </c>
    </row>
    <row r="125" spans="1:26" ht="13.2">
      <c r="B125" s="54" t="s">
        <v>285</v>
      </c>
      <c r="D125" s="54" t="s">
        <v>286</v>
      </c>
      <c r="F125" s="55" t="s">
        <v>287</v>
      </c>
    </row>
    <row r="126" spans="1:26" ht="13.2">
      <c r="B126" s="54" t="s">
        <v>288</v>
      </c>
      <c r="D126" s="54" t="s">
        <v>289</v>
      </c>
      <c r="F126" s="55" t="s">
        <v>290</v>
      </c>
    </row>
    <row r="127" spans="1:26" ht="13.2">
      <c r="B127" s="54" t="s">
        <v>291</v>
      </c>
      <c r="D127" s="54" t="s">
        <v>292</v>
      </c>
      <c r="F127" s="55" t="s">
        <v>293</v>
      </c>
    </row>
    <row r="128" spans="1:26" ht="13.2">
      <c r="B128" s="54" t="s">
        <v>294</v>
      </c>
      <c r="D128" s="54" t="s">
        <v>295</v>
      </c>
      <c r="F128" s="55" t="s">
        <v>296</v>
      </c>
    </row>
    <row r="129" spans="2:6" ht="13.2">
      <c r="B129" s="54" t="s">
        <v>297</v>
      </c>
      <c r="D129" s="54" t="s">
        <v>298</v>
      </c>
      <c r="F129" s="55" t="s">
        <v>299</v>
      </c>
    </row>
    <row r="130" spans="2:6" ht="13.2">
      <c r="B130" s="54" t="s">
        <v>300</v>
      </c>
      <c r="D130" s="54" t="s">
        <v>301</v>
      </c>
      <c r="F130" s="55" t="s">
        <v>302</v>
      </c>
    </row>
    <row r="131" spans="2:6" ht="13.2">
      <c r="B131" s="54" t="s">
        <v>303</v>
      </c>
      <c r="D131" s="54" t="s">
        <v>304</v>
      </c>
      <c r="F131" s="55" t="s">
        <v>305</v>
      </c>
    </row>
    <row r="132" spans="2:6" ht="13.2">
      <c r="B132" s="54" t="s">
        <v>306</v>
      </c>
      <c r="D132" s="54" t="s">
        <v>307</v>
      </c>
      <c r="F132" s="55" t="s">
        <v>308</v>
      </c>
    </row>
    <row r="133" spans="2:6" ht="13.2">
      <c r="B133" s="54" t="s">
        <v>309</v>
      </c>
      <c r="D133" s="54" t="s">
        <v>310</v>
      </c>
      <c r="F133" s="55" t="s">
        <v>311</v>
      </c>
    </row>
    <row r="134" spans="2:6" ht="13.2">
      <c r="B134" s="54" t="s">
        <v>312</v>
      </c>
      <c r="D134" s="54" t="s">
        <v>313</v>
      </c>
      <c r="F134" s="55" t="s">
        <v>314</v>
      </c>
    </row>
    <row r="135" spans="2:6" ht="13.2">
      <c r="B135" s="54" t="s">
        <v>315</v>
      </c>
      <c r="D135" s="54" t="s">
        <v>316</v>
      </c>
      <c r="F135" s="55" t="s">
        <v>317</v>
      </c>
    </row>
    <row r="137" spans="2:6" ht="13.8">
      <c r="B137" s="53" t="s">
        <v>318</v>
      </c>
    </row>
    <row r="139" spans="2:6" ht="13.2">
      <c r="B139" s="54" t="s">
        <v>319</v>
      </c>
      <c r="D139" s="54" t="s">
        <v>320</v>
      </c>
      <c r="F139" s="55" t="s">
        <v>321</v>
      </c>
    </row>
    <row r="140" spans="2:6" ht="13.2">
      <c r="B140" s="54" t="s">
        <v>322</v>
      </c>
      <c r="D140" s="54" t="s">
        <v>323</v>
      </c>
      <c r="F140" s="55" t="s">
        <v>324</v>
      </c>
    </row>
    <row r="141" spans="2:6" ht="13.2">
      <c r="B141" s="54" t="s">
        <v>325</v>
      </c>
      <c r="D141" s="54" t="s">
        <v>326</v>
      </c>
      <c r="F141" s="55" t="s">
        <v>327</v>
      </c>
    </row>
    <row r="142" spans="2:6" ht="13.2">
      <c r="B142" s="54" t="s">
        <v>328</v>
      </c>
      <c r="D142" s="54" t="s">
        <v>329</v>
      </c>
      <c r="F142" s="55" t="s">
        <v>330</v>
      </c>
    </row>
    <row r="143" spans="2:6" ht="13.2">
      <c r="B143" s="54" t="s">
        <v>331</v>
      </c>
      <c r="D143" s="54" t="s">
        <v>332</v>
      </c>
      <c r="F143" s="55" t="s">
        <v>333</v>
      </c>
    </row>
    <row r="144" spans="2:6" ht="13.2">
      <c r="B144" s="54" t="s">
        <v>334</v>
      </c>
      <c r="D144" s="54" t="s">
        <v>335</v>
      </c>
      <c r="F144" s="55" t="s">
        <v>336</v>
      </c>
    </row>
    <row r="145" spans="2:6" ht="13.2">
      <c r="B145" s="54" t="s">
        <v>337</v>
      </c>
      <c r="D145" s="54" t="s">
        <v>338</v>
      </c>
      <c r="F145" s="55" t="s">
        <v>339</v>
      </c>
    </row>
    <row r="146" spans="2:6" ht="13.2">
      <c r="B146" s="54" t="s">
        <v>340</v>
      </c>
      <c r="D146" s="54" t="s">
        <v>341</v>
      </c>
      <c r="F146" s="55" t="s">
        <v>342</v>
      </c>
    </row>
    <row r="147" spans="2:6" ht="13.2">
      <c r="B147" s="54" t="s">
        <v>343</v>
      </c>
      <c r="D147" s="54" t="s">
        <v>344</v>
      </c>
      <c r="F147" s="55" t="s">
        <v>345</v>
      </c>
    </row>
    <row r="148" spans="2:6" ht="13.2">
      <c r="B148" s="54" t="s">
        <v>346</v>
      </c>
      <c r="D148" s="54" t="s">
        <v>347</v>
      </c>
      <c r="F148" s="55" t="s">
        <v>348</v>
      </c>
    </row>
    <row r="150" spans="2:6" ht="13.8">
      <c r="B150" s="53" t="s">
        <v>349</v>
      </c>
    </row>
    <row r="152" spans="2:6" ht="13.2">
      <c r="B152" s="54" t="s">
        <v>350</v>
      </c>
      <c r="D152" s="54" t="s">
        <v>351</v>
      </c>
      <c r="F152" s="55" t="s">
        <v>352</v>
      </c>
    </row>
    <row r="153" spans="2:6" ht="13.2">
      <c r="B153" s="54" t="s">
        <v>353</v>
      </c>
      <c r="D153" s="54" t="s">
        <v>354</v>
      </c>
      <c r="F153" s="55" t="s">
        <v>355</v>
      </c>
    </row>
    <row r="154" spans="2:6" ht="13.2">
      <c r="B154" s="54" t="s">
        <v>356</v>
      </c>
      <c r="D154" s="54" t="s">
        <v>357</v>
      </c>
      <c r="F154" s="55" t="s">
        <v>358</v>
      </c>
    </row>
    <row r="155" spans="2:6" ht="13.2">
      <c r="B155" s="54" t="s">
        <v>359</v>
      </c>
      <c r="D155" s="54" t="s">
        <v>360</v>
      </c>
      <c r="F155" s="55" t="s">
        <v>361</v>
      </c>
    </row>
    <row r="156" spans="2:6" ht="13.2">
      <c r="B156" s="54" t="s">
        <v>362</v>
      </c>
      <c r="D156" s="54" t="s">
        <v>363</v>
      </c>
      <c r="F156" s="55" t="s">
        <v>364</v>
      </c>
    </row>
    <row r="157" spans="2:6" ht="13.2">
      <c r="B157" s="54" t="s">
        <v>365</v>
      </c>
      <c r="D157" s="54" t="s">
        <v>366</v>
      </c>
      <c r="F157" s="55" t="s">
        <v>367</v>
      </c>
    </row>
    <row r="158" spans="2:6" ht="13.2">
      <c r="B158" s="54" t="s">
        <v>368</v>
      </c>
      <c r="D158" s="54" t="s">
        <v>369</v>
      </c>
      <c r="F158" s="55" t="s">
        <v>370</v>
      </c>
    </row>
    <row r="159" spans="2:6" ht="13.2">
      <c r="B159" s="54" t="s">
        <v>371</v>
      </c>
      <c r="D159" s="54" t="s">
        <v>372</v>
      </c>
      <c r="F159" s="55" t="s">
        <v>373</v>
      </c>
    </row>
    <row r="160" spans="2:6" ht="13.2">
      <c r="B160" s="54" t="s">
        <v>374</v>
      </c>
      <c r="D160" s="54" t="s">
        <v>375</v>
      </c>
      <c r="F160" s="55" t="s">
        <v>376</v>
      </c>
    </row>
    <row r="161" spans="2:6" ht="13.2">
      <c r="B161" s="54" t="s">
        <v>377</v>
      </c>
      <c r="D161" s="54" t="s">
        <v>378</v>
      </c>
      <c r="F161" s="55" t="s">
        <v>379</v>
      </c>
    </row>
    <row r="163" spans="2:6" ht="13.8">
      <c r="B163" s="53" t="s">
        <v>380</v>
      </c>
    </row>
    <row r="165" spans="2:6" ht="13.2">
      <c r="B165" s="54" t="s">
        <v>381</v>
      </c>
      <c r="D165" s="54" t="s">
        <v>382</v>
      </c>
      <c r="F165" s="55" t="s">
        <v>383</v>
      </c>
    </row>
    <row r="166" spans="2:6" ht="13.2">
      <c r="B166" s="54" t="s">
        <v>384</v>
      </c>
      <c r="D166" s="54" t="s">
        <v>385</v>
      </c>
      <c r="F166" s="55" t="s">
        <v>386</v>
      </c>
    </row>
    <row r="167" spans="2:6" ht="13.2">
      <c r="B167" s="54" t="s">
        <v>387</v>
      </c>
      <c r="D167" s="54" t="s">
        <v>388</v>
      </c>
      <c r="F167" s="55" t="s">
        <v>389</v>
      </c>
    </row>
    <row r="168" spans="2:6" ht="13.2">
      <c r="B168" s="54" t="s">
        <v>390</v>
      </c>
      <c r="D168" s="54" t="s">
        <v>391</v>
      </c>
      <c r="F168" s="55" t="s">
        <v>392</v>
      </c>
    </row>
    <row r="169" spans="2:6" ht="13.2">
      <c r="B169" s="54" t="s">
        <v>393</v>
      </c>
      <c r="D169" s="54" t="s">
        <v>394</v>
      </c>
      <c r="F169" s="55" t="s">
        <v>395</v>
      </c>
    </row>
    <row r="170" spans="2:6" ht="13.2">
      <c r="B170" s="54" t="s">
        <v>396</v>
      </c>
      <c r="D170" s="54" t="s">
        <v>397</v>
      </c>
      <c r="F170" s="55" t="s">
        <v>398</v>
      </c>
    </row>
    <row r="171" spans="2:6" ht="13.2">
      <c r="B171" s="54" t="s">
        <v>399</v>
      </c>
      <c r="D171" s="54" t="s">
        <v>400</v>
      </c>
      <c r="F171" s="55" t="s">
        <v>401</v>
      </c>
    </row>
    <row r="172" spans="2:6" ht="13.2">
      <c r="B172" s="54" t="s">
        <v>402</v>
      </c>
      <c r="D172" s="54" t="s">
        <v>403</v>
      </c>
      <c r="F172" s="55" t="s">
        <v>404</v>
      </c>
    </row>
    <row r="173" spans="2:6" ht="13.2">
      <c r="B173" s="54" t="s">
        <v>405</v>
      </c>
      <c r="D173" s="54" t="s">
        <v>406</v>
      </c>
      <c r="F173" s="55" t="s">
        <v>407</v>
      </c>
    </row>
    <row r="174" spans="2:6" ht="13.2">
      <c r="B174" s="54" t="s">
        <v>408</v>
      </c>
      <c r="D174" s="54" t="s">
        <v>409</v>
      </c>
      <c r="F174" s="55" t="s">
        <v>410</v>
      </c>
    </row>
    <row r="175" spans="2:6" ht="13.2">
      <c r="B175" s="54" t="s">
        <v>411</v>
      </c>
      <c r="D175" s="54" t="s">
        <v>412</v>
      </c>
      <c r="F175" s="55" t="s">
        <v>413</v>
      </c>
    </row>
    <row r="176" spans="2:6" ht="13.2">
      <c r="B176" s="54" t="s">
        <v>414</v>
      </c>
      <c r="D176" s="54" t="s">
        <v>415</v>
      </c>
      <c r="F176" s="55" t="s">
        <v>416</v>
      </c>
    </row>
    <row r="177" spans="2:6" ht="13.2">
      <c r="B177" s="54" t="s">
        <v>417</v>
      </c>
      <c r="D177" s="54" t="s">
        <v>418</v>
      </c>
      <c r="F177" s="55" t="s">
        <v>419</v>
      </c>
    </row>
    <row r="178" spans="2:6" ht="13.2">
      <c r="B178" s="54" t="s">
        <v>420</v>
      </c>
      <c r="D178" s="54" t="s">
        <v>421</v>
      </c>
      <c r="F178" s="55" t="s">
        <v>422</v>
      </c>
    </row>
    <row r="179" spans="2:6" ht="13.2">
      <c r="B179" s="54" t="s">
        <v>423</v>
      </c>
      <c r="D179" s="54" t="s">
        <v>424</v>
      </c>
      <c r="F179" s="55" t="s">
        <v>425</v>
      </c>
    </row>
    <row r="199" spans="1:8" ht="13.2">
      <c r="A199" s="49"/>
      <c r="B199" s="50"/>
      <c r="C199" s="49"/>
      <c r="D199" s="51"/>
      <c r="E199" s="49"/>
      <c r="F199" s="52" t="str">
        <f>HYPERLINK("mailto:cdbooth@alaska.edu","Email questions to cdbooth@alaska.edu")</f>
        <v>Email questions to cdbooth@alaska.edu</v>
      </c>
      <c r="G199" s="7"/>
      <c r="H199" s="7"/>
    </row>
    <row r="200" spans="1:8" ht="13.2">
      <c r="A200" s="7"/>
      <c r="B200" s="8"/>
      <c r="C200" s="7"/>
      <c r="D200" s="2"/>
      <c r="E200" s="7"/>
      <c r="F200" s="7"/>
      <c r="G200" s="7"/>
      <c r="H200" s="7"/>
    </row>
    <row r="201" spans="1:8" ht="13.2">
      <c r="A201" s="7"/>
      <c r="B201" s="8"/>
      <c r="C201" s="7"/>
      <c r="D201" s="2"/>
      <c r="E201" s="7"/>
      <c r="F201" s="7"/>
      <c r="G201" s="7"/>
      <c r="H201" s="7"/>
    </row>
    <row r="202" spans="1:8" ht="13.2">
      <c r="A202" s="7"/>
      <c r="B202" s="8"/>
      <c r="C202" s="7"/>
      <c r="D202" s="2"/>
      <c r="E202" s="7"/>
      <c r="F202" s="7"/>
      <c r="G202" s="7"/>
      <c r="H202" s="7"/>
    </row>
    <row r="203" spans="1:8" ht="13.2">
      <c r="A203" s="7"/>
      <c r="B203" s="8"/>
      <c r="C203" s="7"/>
      <c r="D203" s="2"/>
      <c r="E203" s="7"/>
      <c r="F203" s="7"/>
      <c r="G203" s="7"/>
      <c r="H203" s="7"/>
    </row>
    <row r="204" spans="1:8" ht="13.2">
      <c r="A204" s="7"/>
      <c r="B204" s="8"/>
      <c r="C204" s="7"/>
      <c r="D204" s="2"/>
      <c r="E204" s="7"/>
      <c r="F204" s="7"/>
      <c r="G204" s="7"/>
      <c r="H204" s="7"/>
    </row>
    <row r="205" spans="1:8" ht="13.2">
      <c r="A205" s="7"/>
      <c r="B205" s="8"/>
      <c r="C205" s="7"/>
      <c r="D205" s="2"/>
      <c r="E205" s="7"/>
      <c r="F205" s="7"/>
      <c r="G205" s="7"/>
      <c r="H205" s="7"/>
    </row>
    <row r="206" spans="1:8" ht="13.2">
      <c r="A206" s="7"/>
      <c r="B206" s="8"/>
      <c r="C206" s="7"/>
      <c r="D206" s="2"/>
      <c r="E206" s="7"/>
      <c r="F206" s="7"/>
      <c r="G206" s="7"/>
      <c r="H206" s="7"/>
    </row>
    <row r="207" spans="1:8" ht="13.2">
      <c r="A207" s="7"/>
      <c r="B207" s="8"/>
      <c r="C207" s="7"/>
      <c r="D207" s="2"/>
      <c r="E207" s="7"/>
      <c r="F207" s="7"/>
      <c r="G207" s="7"/>
      <c r="H207" s="7"/>
    </row>
    <row r="208" spans="1:8" ht="13.2">
      <c r="A208" s="7"/>
      <c r="B208" s="8"/>
      <c r="C208" s="7"/>
      <c r="D208" s="2"/>
      <c r="E208" s="7"/>
      <c r="F208" s="7"/>
      <c r="G208" s="7"/>
      <c r="H208" s="7"/>
    </row>
    <row r="209" spans="1:8" ht="13.2">
      <c r="A209" s="7"/>
      <c r="B209" s="8"/>
      <c r="C209" s="7"/>
      <c r="D209" s="2"/>
      <c r="E209" s="7"/>
      <c r="F209" s="7"/>
      <c r="G209" s="7"/>
      <c r="H209" s="7"/>
    </row>
    <row r="210" spans="1:8" ht="13.2">
      <c r="A210" s="7"/>
      <c r="B210" s="8"/>
      <c r="C210" s="7"/>
      <c r="D210" s="2"/>
      <c r="E210" s="7"/>
      <c r="F210" s="7"/>
      <c r="G210" s="7"/>
      <c r="H210" s="7"/>
    </row>
    <row r="211" spans="1:8" ht="13.2">
      <c r="A211" s="7"/>
      <c r="B211" s="8"/>
      <c r="C211" s="7"/>
      <c r="D211" s="2"/>
      <c r="E211" s="7"/>
      <c r="F211" s="7"/>
      <c r="G211" s="7"/>
      <c r="H211" s="7"/>
    </row>
    <row r="212" spans="1:8" ht="13.2">
      <c r="A212" s="7"/>
      <c r="B212" s="8"/>
      <c r="C212" s="7"/>
      <c r="D212" s="2"/>
      <c r="E212" s="7"/>
      <c r="F212" s="7"/>
      <c r="G212" s="7"/>
      <c r="H212" s="7"/>
    </row>
    <row r="213" spans="1:8" ht="13.2">
      <c r="A213" s="7"/>
      <c r="B213" s="8"/>
      <c r="C213" s="7"/>
      <c r="D213" s="2"/>
      <c r="E213" s="7"/>
      <c r="F213" s="7"/>
      <c r="G213" s="7"/>
      <c r="H213" s="7"/>
    </row>
    <row r="214" spans="1:8" ht="13.2">
      <c r="A214" s="7"/>
      <c r="B214" s="8"/>
      <c r="C214" s="7"/>
      <c r="D214" s="2"/>
      <c r="E214" s="7"/>
      <c r="F214" s="7"/>
      <c r="G214" s="7"/>
      <c r="H214" s="7"/>
    </row>
    <row r="215" spans="1:8" ht="13.2">
      <c r="A215" s="7"/>
      <c r="B215" s="8"/>
      <c r="C215" s="7"/>
      <c r="D215" s="2"/>
      <c r="E215" s="7"/>
      <c r="F215" s="7"/>
      <c r="G215" s="7"/>
      <c r="H215" s="7"/>
    </row>
    <row r="216" spans="1:8" ht="13.2">
      <c r="A216" s="7"/>
      <c r="B216" s="8"/>
      <c r="C216" s="7"/>
      <c r="D216" s="2"/>
      <c r="E216" s="7"/>
      <c r="F216" s="7"/>
      <c r="G216" s="7"/>
      <c r="H216" s="7"/>
    </row>
    <row r="217" spans="1:8" ht="13.2">
      <c r="A217" s="7"/>
      <c r="B217" s="8"/>
      <c r="C217" s="7"/>
      <c r="D217" s="2"/>
      <c r="E217" s="7"/>
      <c r="F217" s="7"/>
      <c r="G217" s="7"/>
      <c r="H217" s="7"/>
    </row>
    <row r="218" spans="1:8" ht="13.2">
      <c r="A218" s="7"/>
      <c r="B218" s="8"/>
      <c r="C218" s="7"/>
      <c r="D218" s="2"/>
      <c r="E218" s="7"/>
      <c r="F218" s="7"/>
      <c r="G218" s="7"/>
      <c r="H218" s="7"/>
    </row>
    <row r="219" spans="1:8" ht="13.2">
      <c r="A219" s="7"/>
      <c r="B219" s="8"/>
      <c r="C219" s="7"/>
      <c r="D219" s="2"/>
      <c r="E219" s="7"/>
      <c r="F219" s="7"/>
      <c r="G219" s="7"/>
      <c r="H219" s="7"/>
    </row>
    <row r="220" spans="1:8" ht="13.2">
      <c r="A220" s="7"/>
      <c r="B220" s="8"/>
      <c r="C220" s="7"/>
      <c r="D220" s="2"/>
      <c r="E220" s="7"/>
      <c r="F220" s="7"/>
      <c r="G220" s="7"/>
      <c r="H220" s="7"/>
    </row>
    <row r="221" spans="1:8" ht="13.2">
      <c r="A221" s="7"/>
      <c r="B221" s="8"/>
      <c r="C221" s="7"/>
      <c r="D221" s="2"/>
      <c r="E221" s="7"/>
      <c r="F221" s="7"/>
      <c r="G221" s="7"/>
      <c r="H221" s="7"/>
    </row>
    <row r="222" spans="1:8" ht="13.2">
      <c r="A222" s="7"/>
      <c r="B222" s="8"/>
      <c r="C222" s="7"/>
      <c r="D222" s="2"/>
      <c r="E222" s="7"/>
      <c r="F222" s="7"/>
      <c r="G222" s="7"/>
      <c r="H222" s="7"/>
    </row>
    <row r="223" spans="1:8" ht="13.2">
      <c r="A223" s="7"/>
      <c r="B223" s="8"/>
      <c r="C223" s="7"/>
      <c r="D223" s="2"/>
      <c r="E223" s="7"/>
      <c r="F223" s="7"/>
      <c r="G223" s="7"/>
      <c r="H223" s="7"/>
    </row>
    <row r="224" spans="1:8" ht="13.2">
      <c r="A224" s="7"/>
      <c r="B224" s="8"/>
      <c r="C224" s="7"/>
      <c r="D224" s="2"/>
      <c r="E224" s="7"/>
      <c r="F224" s="7"/>
      <c r="G224" s="7"/>
      <c r="H224" s="7"/>
    </row>
    <row r="225" spans="1:8" ht="13.2">
      <c r="A225" s="7"/>
      <c r="B225" s="8"/>
      <c r="C225" s="7"/>
      <c r="D225" s="2"/>
      <c r="E225" s="7"/>
      <c r="F225" s="7"/>
      <c r="G225" s="7"/>
      <c r="H225" s="7"/>
    </row>
    <row r="226" spans="1:8" ht="13.2">
      <c r="A226" s="7"/>
      <c r="B226" s="8"/>
      <c r="C226" s="7"/>
      <c r="D226" s="2"/>
      <c r="E226" s="7"/>
      <c r="F226" s="7"/>
      <c r="G226" s="7"/>
      <c r="H226" s="7"/>
    </row>
    <row r="227" spans="1:8" ht="13.2">
      <c r="A227" s="7"/>
      <c r="B227" s="8"/>
      <c r="C227" s="7"/>
      <c r="D227" s="2"/>
      <c r="E227" s="7"/>
      <c r="F227" s="7"/>
      <c r="G227" s="7"/>
      <c r="H227" s="7"/>
    </row>
    <row r="228" spans="1:8" ht="13.2">
      <c r="A228" s="7"/>
      <c r="B228" s="8"/>
      <c r="C228" s="7"/>
      <c r="D228" s="2"/>
      <c r="E228" s="7"/>
      <c r="F228" s="7"/>
      <c r="G228" s="7"/>
      <c r="H228" s="7"/>
    </row>
    <row r="229" spans="1:8" ht="13.2">
      <c r="A229" s="7"/>
      <c r="B229" s="8"/>
      <c r="C229" s="7"/>
      <c r="D229" s="2"/>
      <c r="E229" s="7"/>
      <c r="F229" s="7"/>
      <c r="G229" s="7"/>
      <c r="H229" s="7"/>
    </row>
    <row r="230" spans="1:8" ht="13.2">
      <c r="A230" s="7"/>
      <c r="B230" s="8"/>
      <c r="C230" s="7"/>
      <c r="D230" s="2"/>
      <c r="E230" s="7"/>
      <c r="F230" s="7"/>
      <c r="G230" s="7"/>
      <c r="H230" s="7"/>
    </row>
    <row r="231" spans="1:8" ht="13.2">
      <c r="A231" s="7"/>
      <c r="B231" s="8"/>
      <c r="C231" s="7"/>
      <c r="D231" s="2"/>
      <c r="E231" s="7"/>
      <c r="F231" s="7"/>
      <c r="G231" s="7"/>
      <c r="H231" s="7"/>
    </row>
    <row r="232" spans="1:8" ht="13.2">
      <c r="A232" s="7"/>
      <c r="B232" s="8"/>
      <c r="C232" s="7"/>
      <c r="D232" s="2"/>
      <c r="E232" s="7"/>
      <c r="F232" s="7"/>
      <c r="G232" s="7"/>
      <c r="H232" s="7"/>
    </row>
    <row r="233" spans="1:8" ht="13.2">
      <c r="A233" s="7"/>
      <c r="B233" s="8"/>
      <c r="C233" s="7"/>
      <c r="D233" s="2"/>
      <c r="E233" s="7"/>
      <c r="F233" s="7"/>
      <c r="G233" s="7"/>
      <c r="H233" s="7"/>
    </row>
    <row r="234" spans="1:8" ht="13.2">
      <c r="A234" s="7"/>
      <c r="B234" s="8"/>
      <c r="C234" s="7"/>
      <c r="D234" s="2"/>
      <c r="E234" s="7"/>
      <c r="F234" s="7"/>
      <c r="G234" s="7"/>
      <c r="H234" s="7"/>
    </row>
    <row r="235" spans="1:8" ht="13.2">
      <c r="A235" s="7"/>
      <c r="B235" s="8"/>
      <c r="C235" s="7"/>
      <c r="D235" s="2"/>
      <c r="E235" s="7"/>
      <c r="F235" s="7"/>
      <c r="G235" s="7"/>
      <c r="H235" s="7"/>
    </row>
    <row r="236" spans="1:8" ht="13.2">
      <c r="A236" s="7"/>
      <c r="B236" s="8"/>
      <c r="C236" s="7"/>
      <c r="D236" s="2"/>
      <c r="E236" s="7"/>
      <c r="F236" s="7"/>
      <c r="G236" s="7"/>
      <c r="H236" s="7"/>
    </row>
    <row r="237" spans="1:8" ht="13.2">
      <c r="A237" s="7"/>
      <c r="B237" s="8"/>
      <c r="C237" s="7"/>
      <c r="D237" s="2"/>
      <c r="E237" s="7"/>
      <c r="F237" s="7"/>
      <c r="G237" s="7"/>
      <c r="H237" s="7"/>
    </row>
    <row r="238" spans="1:8" ht="13.2">
      <c r="A238" s="7"/>
      <c r="B238" s="8"/>
      <c r="C238" s="7"/>
      <c r="D238" s="2"/>
      <c r="E238" s="7"/>
      <c r="F238" s="7"/>
      <c r="G238" s="7"/>
      <c r="H238" s="7"/>
    </row>
    <row r="239" spans="1:8" ht="13.2">
      <c r="A239" s="7"/>
      <c r="B239" s="8"/>
      <c r="C239" s="7"/>
      <c r="D239" s="2"/>
      <c r="E239" s="7"/>
      <c r="F239" s="7"/>
      <c r="G239" s="7"/>
      <c r="H239" s="7"/>
    </row>
    <row r="240" spans="1:8" ht="13.2">
      <c r="A240" s="7"/>
      <c r="B240" s="8"/>
      <c r="C240" s="7"/>
      <c r="D240" s="2"/>
      <c r="E240" s="7"/>
      <c r="F240" s="7"/>
      <c r="G240" s="7"/>
      <c r="H240" s="7"/>
    </row>
    <row r="241" spans="1:8" ht="13.2">
      <c r="A241" s="7"/>
      <c r="B241" s="8"/>
      <c r="C241" s="7"/>
      <c r="D241" s="2"/>
      <c r="E241" s="7"/>
      <c r="F241" s="7"/>
      <c r="G241" s="7"/>
      <c r="H241" s="7"/>
    </row>
    <row r="242" spans="1:8" ht="13.2">
      <c r="A242" s="7"/>
      <c r="B242" s="8"/>
      <c r="C242" s="7"/>
      <c r="D242" s="2"/>
      <c r="E242" s="7"/>
      <c r="F242" s="7"/>
      <c r="G242" s="7"/>
      <c r="H242" s="7"/>
    </row>
    <row r="243" spans="1:8" ht="13.2">
      <c r="A243" s="7"/>
      <c r="B243" s="8"/>
      <c r="C243" s="7"/>
      <c r="D243" s="2"/>
      <c r="E243" s="7"/>
      <c r="F243" s="7"/>
      <c r="G243" s="7"/>
      <c r="H243" s="7"/>
    </row>
    <row r="244" spans="1:8" ht="13.2">
      <c r="A244" s="7"/>
      <c r="B244" s="8"/>
      <c r="C244" s="7"/>
      <c r="D244" s="2"/>
      <c r="E244" s="7"/>
      <c r="F244" s="7"/>
      <c r="G244" s="7"/>
      <c r="H244" s="7"/>
    </row>
    <row r="245" spans="1:8" ht="13.2">
      <c r="A245" s="7"/>
      <c r="B245" s="8"/>
      <c r="C245" s="7"/>
      <c r="D245" s="2"/>
      <c r="E245" s="7"/>
      <c r="F245" s="7"/>
      <c r="G245" s="7"/>
      <c r="H245" s="7"/>
    </row>
    <row r="246" spans="1:8" ht="13.2">
      <c r="A246" s="7"/>
      <c r="B246" s="8"/>
      <c r="C246" s="7"/>
      <c r="D246" s="2"/>
      <c r="E246" s="7"/>
      <c r="F246" s="7"/>
      <c r="G246" s="7"/>
      <c r="H246" s="7"/>
    </row>
    <row r="247" spans="1:8" ht="13.2">
      <c r="A247" s="7"/>
      <c r="B247" s="8"/>
      <c r="C247" s="7"/>
      <c r="D247" s="2"/>
      <c r="E247" s="7"/>
      <c r="F247" s="7"/>
      <c r="G247" s="7"/>
      <c r="H247" s="7"/>
    </row>
    <row r="248" spans="1:8" ht="13.2">
      <c r="A248" s="7"/>
      <c r="B248" s="8"/>
      <c r="C248" s="7"/>
      <c r="D248" s="2"/>
      <c r="E248" s="7"/>
      <c r="F248" s="7"/>
      <c r="G248" s="7"/>
      <c r="H248" s="7"/>
    </row>
    <row r="249" spans="1:8" ht="13.2">
      <c r="A249" s="7"/>
      <c r="B249" s="8"/>
      <c r="C249" s="7"/>
      <c r="D249" s="2"/>
      <c r="E249" s="7"/>
      <c r="F249" s="7"/>
      <c r="G249" s="7"/>
      <c r="H249" s="7"/>
    </row>
    <row r="250" spans="1:8" ht="13.2">
      <c r="A250" s="7"/>
      <c r="B250" s="8"/>
      <c r="C250" s="7"/>
      <c r="D250" s="2"/>
      <c r="E250" s="7"/>
      <c r="F250" s="7"/>
      <c r="G250" s="7"/>
      <c r="H250" s="7"/>
    </row>
    <row r="251" spans="1:8" ht="13.2">
      <c r="A251" s="7"/>
      <c r="B251" s="8"/>
      <c r="C251" s="7"/>
      <c r="D251" s="2"/>
      <c r="E251" s="7"/>
      <c r="F251" s="7"/>
      <c r="G251" s="7"/>
      <c r="H251" s="7"/>
    </row>
    <row r="252" spans="1:8" ht="13.2">
      <c r="A252" s="7"/>
      <c r="B252" s="8"/>
      <c r="C252" s="7"/>
      <c r="D252" s="2"/>
      <c r="E252" s="7"/>
      <c r="F252" s="7"/>
      <c r="G252" s="7"/>
      <c r="H252" s="7"/>
    </row>
    <row r="253" spans="1:8" ht="13.2">
      <c r="A253" s="7"/>
      <c r="B253" s="8"/>
      <c r="C253" s="7"/>
      <c r="D253" s="2"/>
      <c r="E253" s="7"/>
      <c r="F253" s="7"/>
      <c r="G253" s="7"/>
      <c r="H253" s="7"/>
    </row>
    <row r="254" spans="1:8" ht="13.2">
      <c r="A254" s="7"/>
      <c r="B254" s="8"/>
      <c r="C254" s="7"/>
      <c r="D254" s="2"/>
      <c r="E254" s="7"/>
      <c r="F254" s="7"/>
      <c r="G254" s="7"/>
      <c r="H254" s="7"/>
    </row>
    <row r="255" spans="1:8" ht="13.2">
      <c r="A255" s="7"/>
      <c r="B255" s="8"/>
      <c r="C255" s="7"/>
      <c r="D255" s="2"/>
      <c r="E255" s="7"/>
      <c r="F255" s="7"/>
      <c r="G255" s="7"/>
      <c r="H255" s="7"/>
    </row>
    <row r="256" spans="1:8" ht="13.2">
      <c r="A256" s="7"/>
      <c r="B256" s="8"/>
      <c r="C256" s="7"/>
      <c r="D256" s="2"/>
      <c r="E256" s="7"/>
      <c r="F256" s="7"/>
      <c r="G256" s="7"/>
      <c r="H256" s="7"/>
    </row>
    <row r="257" spans="1:8" ht="13.2">
      <c r="A257" s="7"/>
      <c r="B257" s="8"/>
      <c r="C257" s="7"/>
      <c r="D257" s="2"/>
      <c r="E257" s="7"/>
      <c r="F257" s="7"/>
      <c r="G257" s="7"/>
      <c r="H257" s="7"/>
    </row>
    <row r="258" spans="1:8" ht="13.2">
      <c r="A258" s="7"/>
      <c r="B258" s="8"/>
      <c r="C258" s="7"/>
      <c r="D258" s="2"/>
      <c r="E258" s="7"/>
      <c r="F258" s="7"/>
      <c r="G258" s="7"/>
      <c r="H258" s="7"/>
    </row>
    <row r="259" spans="1:8" ht="13.2">
      <c r="A259" s="7"/>
      <c r="B259" s="8"/>
      <c r="C259" s="7"/>
      <c r="D259" s="2"/>
      <c r="E259" s="7"/>
      <c r="F259" s="7"/>
      <c r="G259" s="7"/>
      <c r="H259" s="7"/>
    </row>
    <row r="260" spans="1:8" ht="13.2">
      <c r="A260" s="7"/>
      <c r="B260" s="8"/>
      <c r="C260" s="7"/>
      <c r="D260" s="2"/>
      <c r="E260" s="7"/>
      <c r="F260" s="7"/>
      <c r="G260" s="7"/>
      <c r="H260" s="7"/>
    </row>
    <row r="261" spans="1:8" ht="13.2">
      <c r="A261" s="7"/>
      <c r="B261" s="8"/>
      <c r="C261" s="7"/>
      <c r="D261" s="2"/>
      <c r="E261" s="7"/>
      <c r="F261" s="7"/>
      <c r="G261" s="7"/>
      <c r="H261" s="7"/>
    </row>
    <row r="262" spans="1:8" ht="13.2">
      <c r="A262" s="7"/>
      <c r="B262" s="8"/>
      <c r="C262" s="7"/>
      <c r="D262" s="2"/>
      <c r="E262" s="7"/>
      <c r="F262" s="7"/>
      <c r="G262" s="7"/>
      <c r="H262" s="7"/>
    </row>
    <row r="263" spans="1:8" ht="13.2">
      <c r="A263" s="7"/>
      <c r="B263" s="8"/>
      <c r="C263" s="7"/>
      <c r="D263" s="2"/>
      <c r="E263" s="7"/>
      <c r="F263" s="7"/>
      <c r="G263" s="7"/>
      <c r="H263" s="7"/>
    </row>
    <row r="264" spans="1:8" ht="13.2">
      <c r="A264" s="7"/>
      <c r="B264" s="8"/>
      <c r="C264" s="7"/>
      <c r="D264" s="2"/>
      <c r="E264" s="7"/>
      <c r="F264" s="7"/>
      <c r="G264" s="7"/>
      <c r="H264" s="7"/>
    </row>
    <row r="265" spans="1:8" ht="13.2">
      <c r="A265" s="7"/>
      <c r="B265" s="8"/>
      <c r="C265" s="7"/>
      <c r="D265" s="2"/>
      <c r="E265" s="7"/>
      <c r="F265" s="7"/>
      <c r="G265" s="7"/>
      <c r="H265" s="7"/>
    </row>
    <row r="266" spans="1:8" ht="13.2">
      <c r="A266" s="7"/>
      <c r="B266" s="8"/>
      <c r="C266" s="7"/>
      <c r="D266" s="2"/>
      <c r="E266" s="7"/>
      <c r="F266" s="7"/>
      <c r="G266" s="7"/>
      <c r="H266" s="7"/>
    </row>
    <row r="267" spans="1:8" ht="13.2">
      <c r="A267" s="7"/>
      <c r="B267" s="8"/>
      <c r="C267" s="7"/>
      <c r="D267" s="2"/>
      <c r="E267" s="7"/>
      <c r="F267" s="7"/>
      <c r="G267" s="7"/>
      <c r="H267" s="7"/>
    </row>
    <row r="268" spans="1:8" ht="13.2">
      <c r="A268" s="7"/>
      <c r="B268" s="8"/>
      <c r="C268" s="7"/>
      <c r="D268" s="2"/>
      <c r="E268" s="7"/>
      <c r="F268" s="7"/>
      <c r="G268" s="7"/>
      <c r="H268" s="7"/>
    </row>
    <row r="269" spans="1:8" ht="13.2">
      <c r="A269" s="7"/>
      <c r="B269" s="8"/>
      <c r="C269" s="7"/>
      <c r="D269" s="2"/>
      <c r="E269" s="7"/>
      <c r="F269" s="7"/>
      <c r="G269" s="7"/>
      <c r="H269" s="7"/>
    </row>
    <row r="270" spans="1:8" ht="13.2">
      <c r="A270" s="7"/>
      <c r="B270" s="8"/>
      <c r="C270" s="7"/>
      <c r="D270" s="2"/>
      <c r="E270" s="7"/>
      <c r="F270" s="7"/>
      <c r="G270" s="7"/>
      <c r="H270" s="7"/>
    </row>
    <row r="271" spans="1:8" ht="13.2">
      <c r="A271" s="7"/>
      <c r="B271" s="8"/>
      <c r="C271" s="7"/>
      <c r="D271" s="2"/>
      <c r="E271" s="7"/>
      <c r="F271" s="7"/>
      <c r="G271" s="7"/>
      <c r="H271" s="7"/>
    </row>
    <row r="272" spans="1:8" ht="13.2">
      <c r="A272" s="7"/>
      <c r="B272" s="8"/>
      <c r="C272" s="7"/>
      <c r="D272" s="2"/>
      <c r="E272" s="7"/>
      <c r="F272" s="7"/>
      <c r="G272" s="7"/>
      <c r="H272" s="7"/>
    </row>
    <row r="273" spans="1:8" ht="13.2">
      <c r="A273" s="7"/>
      <c r="B273" s="8"/>
      <c r="C273" s="7"/>
      <c r="D273" s="2"/>
      <c r="E273" s="7"/>
      <c r="F273" s="7"/>
      <c r="G273" s="7"/>
      <c r="H273" s="7"/>
    </row>
    <row r="274" spans="1:8" ht="13.2">
      <c r="A274" s="7"/>
      <c r="B274" s="8"/>
      <c r="C274" s="7"/>
      <c r="D274" s="2"/>
      <c r="E274" s="7"/>
      <c r="F274" s="7"/>
      <c r="G274" s="7"/>
      <c r="H274" s="7"/>
    </row>
    <row r="275" spans="1:8" ht="13.2">
      <c r="A275" s="7"/>
      <c r="B275" s="8"/>
      <c r="C275" s="7"/>
      <c r="D275" s="2"/>
      <c r="E275" s="7"/>
      <c r="F275" s="7"/>
      <c r="G275" s="7"/>
      <c r="H275" s="7"/>
    </row>
    <row r="276" spans="1:8" ht="13.2">
      <c r="A276" s="7"/>
      <c r="B276" s="8"/>
      <c r="C276" s="7"/>
      <c r="D276" s="2"/>
      <c r="E276" s="7"/>
      <c r="F276" s="7"/>
      <c r="G276" s="7"/>
      <c r="H276" s="7"/>
    </row>
    <row r="277" spans="1:8" ht="13.2">
      <c r="A277" s="7"/>
      <c r="B277" s="8"/>
      <c r="C277" s="7"/>
      <c r="D277" s="2"/>
      <c r="E277" s="7"/>
      <c r="F277" s="7"/>
      <c r="G277" s="7"/>
      <c r="H277" s="7"/>
    </row>
    <row r="278" spans="1:8" ht="13.2">
      <c r="A278" s="7"/>
      <c r="B278" s="8"/>
      <c r="C278" s="7"/>
      <c r="D278" s="2"/>
      <c r="E278" s="7"/>
      <c r="F278" s="7"/>
      <c r="G278" s="7"/>
      <c r="H278" s="7"/>
    </row>
    <row r="279" spans="1:8" ht="13.2">
      <c r="A279" s="7"/>
      <c r="B279" s="8"/>
      <c r="C279" s="7"/>
      <c r="D279" s="2"/>
      <c r="E279" s="7"/>
      <c r="F279" s="7"/>
      <c r="G279" s="7"/>
      <c r="H279" s="7"/>
    </row>
    <row r="280" spans="1:8" ht="13.2">
      <c r="A280" s="7"/>
      <c r="B280" s="8"/>
      <c r="C280" s="7"/>
      <c r="D280" s="2"/>
      <c r="E280" s="7"/>
      <c r="F280" s="7"/>
      <c r="G280" s="7"/>
      <c r="H280" s="7"/>
    </row>
    <row r="281" spans="1:8" ht="13.2">
      <c r="A281" s="7"/>
      <c r="B281" s="8"/>
      <c r="C281" s="7"/>
      <c r="D281" s="2"/>
      <c r="E281" s="7"/>
      <c r="F281" s="7"/>
      <c r="G281" s="7"/>
      <c r="H281" s="7"/>
    </row>
    <row r="282" spans="1:8" ht="13.2">
      <c r="A282" s="7"/>
      <c r="B282" s="8"/>
      <c r="C282" s="7"/>
      <c r="D282" s="2"/>
      <c r="E282" s="7"/>
      <c r="F282" s="7"/>
      <c r="G282" s="7"/>
      <c r="H282" s="7"/>
    </row>
    <row r="283" spans="1:8" ht="13.2">
      <c r="A283" s="7"/>
      <c r="B283" s="8"/>
      <c r="C283" s="7"/>
      <c r="D283" s="2"/>
      <c r="E283" s="7"/>
      <c r="F283" s="7"/>
      <c r="G283" s="7"/>
      <c r="H283" s="7"/>
    </row>
    <row r="284" spans="1:8" ht="13.2">
      <c r="A284" s="7"/>
      <c r="B284" s="8"/>
      <c r="C284" s="7"/>
      <c r="D284" s="2"/>
      <c r="E284" s="7"/>
      <c r="F284" s="7"/>
      <c r="G284" s="7"/>
      <c r="H284" s="7"/>
    </row>
    <row r="285" spans="1:8" ht="13.2">
      <c r="A285" s="7"/>
      <c r="B285" s="8"/>
      <c r="C285" s="7"/>
      <c r="D285" s="2"/>
      <c r="E285" s="7"/>
      <c r="F285" s="7"/>
      <c r="G285" s="7"/>
      <c r="H285" s="7"/>
    </row>
    <row r="286" spans="1:8" ht="13.2">
      <c r="A286" s="7"/>
      <c r="B286" s="8"/>
      <c r="C286" s="7"/>
      <c r="D286" s="2"/>
      <c r="E286" s="7"/>
      <c r="F286" s="7"/>
      <c r="G286" s="7"/>
      <c r="H286" s="7"/>
    </row>
    <row r="287" spans="1:8" ht="13.2">
      <c r="A287" s="7"/>
      <c r="B287" s="8"/>
      <c r="C287" s="7"/>
      <c r="D287" s="2"/>
      <c r="E287" s="7"/>
      <c r="F287" s="7"/>
      <c r="G287" s="7"/>
      <c r="H287" s="7"/>
    </row>
    <row r="288" spans="1:8" ht="13.2">
      <c r="A288" s="7"/>
      <c r="B288" s="8"/>
      <c r="C288" s="7"/>
      <c r="D288" s="2"/>
      <c r="E288" s="7"/>
      <c r="F288" s="7"/>
      <c r="G288" s="7"/>
      <c r="H288" s="7"/>
    </row>
    <row r="289" spans="1:8" ht="13.2">
      <c r="A289" s="7"/>
      <c r="B289" s="8"/>
      <c r="C289" s="7"/>
      <c r="D289" s="2"/>
      <c r="E289" s="7"/>
      <c r="F289" s="7"/>
      <c r="G289" s="7"/>
      <c r="H289" s="7"/>
    </row>
    <row r="290" spans="1:8" ht="13.2">
      <c r="A290" s="7"/>
      <c r="B290" s="8"/>
      <c r="C290" s="7"/>
      <c r="D290" s="2"/>
      <c r="E290" s="7"/>
      <c r="F290" s="7"/>
      <c r="G290" s="7"/>
      <c r="H290" s="7"/>
    </row>
    <row r="291" spans="1:8" ht="13.2">
      <c r="A291" s="7"/>
      <c r="B291" s="8"/>
      <c r="C291" s="7"/>
      <c r="D291" s="2"/>
      <c r="E291" s="7"/>
      <c r="F291" s="7"/>
      <c r="G291" s="7"/>
      <c r="H291" s="7"/>
    </row>
    <row r="292" spans="1:8" ht="13.2">
      <c r="A292" s="7"/>
      <c r="B292" s="8"/>
      <c r="C292" s="7"/>
      <c r="D292" s="2"/>
      <c r="E292" s="7"/>
      <c r="F292" s="7"/>
      <c r="G292" s="7"/>
      <c r="H292" s="7"/>
    </row>
    <row r="293" spans="1:8" ht="13.2">
      <c r="A293" s="7"/>
      <c r="B293" s="8"/>
      <c r="C293" s="7"/>
      <c r="D293" s="2"/>
      <c r="E293" s="7"/>
      <c r="F293" s="7"/>
      <c r="G293" s="7"/>
      <c r="H293" s="7"/>
    </row>
    <row r="294" spans="1:8" ht="13.2">
      <c r="A294" s="7"/>
      <c r="B294" s="8"/>
      <c r="C294" s="7"/>
      <c r="D294" s="2"/>
      <c r="E294" s="7"/>
      <c r="F294" s="7"/>
      <c r="G294" s="7"/>
      <c r="H294" s="7"/>
    </row>
    <row r="295" spans="1:8" ht="13.2">
      <c r="A295" s="7"/>
      <c r="B295" s="8"/>
      <c r="C295" s="7"/>
      <c r="D295" s="2"/>
      <c r="E295" s="7"/>
      <c r="F295" s="7"/>
      <c r="G295" s="7"/>
      <c r="H295" s="7"/>
    </row>
    <row r="296" spans="1:8" ht="13.2">
      <c r="A296" s="7"/>
      <c r="B296" s="8"/>
      <c r="C296" s="7"/>
      <c r="D296" s="2"/>
      <c r="E296" s="7"/>
      <c r="F296" s="7"/>
      <c r="G296" s="7"/>
      <c r="H296" s="7"/>
    </row>
    <row r="297" spans="1:8" ht="13.2">
      <c r="A297" s="7"/>
      <c r="B297" s="8"/>
      <c r="C297" s="7"/>
      <c r="D297" s="2"/>
      <c r="E297" s="7"/>
      <c r="F297" s="7"/>
      <c r="G297" s="7"/>
      <c r="H297" s="7"/>
    </row>
    <row r="298" spans="1:8" ht="13.2">
      <c r="A298" s="7"/>
      <c r="B298" s="8"/>
      <c r="C298" s="7"/>
      <c r="D298" s="2"/>
      <c r="E298" s="7"/>
      <c r="F298" s="7"/>
      <c r="G298" s="7"/>
      <c r="H298" s="7"/>
    </row>
    <row r="299" spans="1:8" ht="13.2">
      <c r="A299" s="7"/>
      <c r="B299" s="8"/>
      <c r="C299" s="7"/>
      <c r="D299" s="2"/>
      <c r="E299" s="7"/>
      <c r="F299" s="7"/>
      <c r="G299" s="7"/>
      <c r="H299" s="7"/>
    </row>
    <row r="300" spans="1:8" ht="13.2">
      <c r="A300" s="7"/>
      <c r="B300" s="8"/>
      <c r="C300" s="7"/>
      <c r="D300" s="2"/>
      <c r="E300" s="7"/>
      <c r="F300" s="7"/>
      <c r="G300" s="7"/>
      <c r="H300" s="7"/>
    </row>
    <row r="301" spans="1:8" ht="13.2">
      <c r="A301" s="7"/>
      <c r="B301" s="8"/>
      <c r="C301" s="7"/>
      <c r="D301" s="2"/>
      <c r="E301" s="7"/>
      <c r="F301" s="7"/>
      <c r="G301" s="7"/>
      <c r="H301" s="7"/>
    </row>
    <row r="302" spans="1:8" ht="13.2">
      <c r="A302" s="7"/>
      <c r="B302" s="8"/>
      <c r="C302" s="7"/>
      <c r="D302" s="2"/>
      <c r="E302" s="7"/>
      <c r="F302" s="7"/>
      <c r="G302" s="7"/>
      <c r="H302" s="7"/>
    </row>
    <row r="303" spans="1:8" ht="13.2">
      <c r="A303" s="7"/>
      <c r="B303" s="8"/>
      <c r="C303" s="7"/>
      <c r="D303" s="2"/>
      <c r="E303" s="7"/>
      <c r="F303" s="7"/>
      <c r="G303" s="7"/>
      <c r="H303" s="7"/>
    </row>
    <row r="304" spans="1:8" ht="13.2">
      <c r="A304" s="7"/>
      <c r="B304" s="8"/>
      <c r="C304" s="7"/>
      <c r="D304" s="2"/>
      <c r="E304" s="7"/>
      <c r="F304" s="7"/>
      <c r="G304" s="7"/>
      <c r="H304" s="7"/>
    </row>
    <row r="305" spans="1:8" ht="13.2">
      <c r="A305" s="7"/>
      <c r="B305" s="8"/>
      <c r="C305" s="7"/>
      <c r="D305" s="2"/>
      <c r="E305" s="7"/>
      <c r="F305" s="7"/>
      <c r="G305" s="7"/>
      <c r="H305" s="7"/>
    </row>
    <row r="306" spans="1:8" ht="13.2">
      <c r="A306" s="7"/>
      <c r="B306" s="8"/>
      <c r="C306" s="7"/>
      <c r="D306" s="2"/>
      <c r="E306" s="7"/>
      <c r="F306" s="7"/>
      <c r="G306" s="7"/>
      <c r="H306" s="7"/>
    </row>
    <row r="307" spans="1:8" ht="13.2">
      <c r="A307" s="7"/>
      <c r="B307" s="8"/>
      <c r="C307" s="7"/>
      <c r="D307" s="2"/>
      <c r="E307" s="7"/>
      <c r="F307" s="7"/>
      <c r="G307" s="7"/>
      <c r="H307" s="7"/>
    </row>
    <row r="308" spans="1:8" ht="13.2">
      <c r="A308" s="7"/>
      <c r="B308" s="8"/>
      <c r="C308" s="7"/>
      <c r="D308" s="2"/>
      <c r="E308" s="7"/>
      <c r="F308" s="7"/>
      <c r="G308" s="7"/>
      <c r="H308" s="7"/>
    </row>
    <row r="309" spans="1:8" ht="13.2">
      <c r="A309" s="7"/>
      <c r="B309" s="8"/>
      <c r="C309" s="7"/>
      <c r="D309" s="2"/>
      <c r="E309" s="7"/>
      <c r="F309" s="7"/>
      <c r="G309" s="7"/>
      <c r="H309" s="7"/>
    </row>
    <row r="310" spans="1:8" ht="13.2">
      <c r="A310" s="7"/>
      <c r="B310" s="8"/>
      <c r="C310" s="7"/>
      <c r="D310" s="2"/>
      <c r="E310" s="7"/>
      <c r="F310" s="7"/>
      <c r="G310" s="7"/>
      <c r="H310" s="7"/>
    </row>
    <row r="311" spans="1:8" ht="13.2">
      <c r="A311" s="7"/>
      <c r="B311" s="8"/>
      <c r="C311" s="7"/>
      <c r="D311" s="2"/>
      <c r="E311" s="7"/>
      <c r="F311" s="7"/>
      <c r="G311" s="7"/>
      <c r="H311" s="7"/>
    </row>
    <row r="312" spans="1:8" ht="13.2">
      <c r="A312" s="7"/>
      <c r="B312" s="8"/>
      <c r="C312" s="7"/>
      <c r="D312" s="2"/>
      <c r="E312" s="7"/>
      <c r="F312" s="7"/>
      <c r="G312" s="7"/>
      <c r="H312" s="7"/>
    </row>
    <row r="313" spans="1:8" ht="13.2">
      <c r="A313" s="7"/>
      <c r="B313" s="8"/>
      <c r="C313" s="7"/>
      <c r="D313" s="2"/>
      <c r="E313" s="7"/>
      <c r="F313" s="7"/>
      <c r="G313" s="7"/>
      <c r="H313" s="7"/>
    </row>
    <row r="314" spans="1:8" ht="13.2">
      <c r="A314" s="7"/>
      <c r="B314" s="8"/>
      <c r="C314" s="7"/>
      <c r="D314" s="2"/>
      <c r="E314" s="7"/>
      <c r="F314" s="7"/>
      <c r="G314" s="7"/>
      <c r="H314" s="7"/>
    </row>
    <row r="315" spans="1:8" ht="13.2">
      <c r="A315" s="7"/>
      <c r="B315" s="8"/>
      <c r="C315" s="7"/>
      <c r="D315" s="2"/>
      <c r="E315" s="7"/>
      <c r="F315" s="7"/>
      <c r="G315" s="7"/>
      <c r="H315" s="7"/>
    </row>
    <row r="316" spans="1:8" ht="13.2">
      <c r="A316" s="7"/>
      <c r="B316" s="8"/>
      <c r="C316" s="7"/>
      <c r="D316" s="2"/>
      <c r="E316" s="7"/>
      <c r="F316" s="7"/>
      <c r="G316" s="7"/>
      <c r="H316" s="7"/>
    </row>
    <row r="317" spans="1:8" ht="13.2">
      <c r="A317" s="7"/>
      <c r="B317" s="8"/>
      <c r="C317" s="7"/>
      <c r="D317" s="2"/>
      <c r="E317" s="7"/>
      <c r="F317" s="7"/>
      <c r="G317" s="7"/>
      <c r="H317" s="7"/>
    </row>
    <row r="318" spans="1:8" ht="13.2">
      <c r="A318" s="7"/>
      <c r="B318" s="8"/>
      <c r="C318" s="7"/>
      <c r="D318" s="2"/>
      <c r="E318" s="7"/>
      <c r="F318" s="7"/>
      <c r="G318" s="7"/>
      <c r="H318" s="7"/>
    </row>
    <row r="319" spans="1:8" ht="13.2">
      <c r="A319" s="7"/>
      <c r="B319" s="8"/>
      <c r="C319" s="7"/>
      <c r="D319" s="2"/>
      <c r="E319" s="7"/>
      <c r="F319" s="7"/>
      <c r="G319" s="7"/>
      <c r="H319" s="7"/>
    </row>
    <row r="320" spans="1:8" ht="13.2">
      <c r="A320" s="7"/>
      <c r="B320" s="8"/>
      <c r="C320" s="7"/>
      <c r="D320" s="2"/>
      <c r="E320" s="7"/>
      <c r="F320" s="7"/>
      <c r="G320" s="7"/>
      <c r="H320" s="7"/>
    </row>
    <row r="321" spans="1:8" ht="13.2">
      <c r="A321" s="7"/>
      <c r="B321" s="8"/>
      <c r="C321" s="7"/>
      <c r="D321" s="2"/>
      <c r="E321" s="7"/>
      <c r="F321" s="7"/>
      <c r="G321" s="7"/>
      <c r="H321" s="7"/>
    </row>
    <row r="322" spans="1:8" ht="13.2">
      <c r="A322" s="7"/>
      <c r="B322" s="8"/>
      <c r="C322" s="7"/>
      <c r="D322" s="2"/>
      <c r="E322" s="7"/>
      <c r="F322" s="7"/>
      <c r="G322" s="7"/>
      <c r="H322" s="7"/>
    </row>
    <row r="323" spans="1:8" ht="13.2">
      <c r="A323" s="7"/>
      <c r="B323" s="8"/>
      <c r="C323" s="7"/>
      <c r="D323" s="2"/>
      <c r="E323" s="7"/>
      <c r="F323" s="7"/>
      <c r="G323" s="7"/>
      <c r="H323" s="7"/>
    </row>
    <row r="324" spans="1:8" ht="13.2">
      <c r="A324" s="7"/>
      <c r="B324" s="8"/>
      <c r="C324" s="7"/>
      <c r="D324" s="2"/>
      <c r="E324" s="7"/>
      <c r="F324" s="7"/>
      <c r="G324" s="7"/>
      <c r="H324" s="7"/>
    </row>
    <row r="325" spans="1:8" ht="13.2">
      <c r="A325" s="7"/>
      <c r="B325" s="8"/>
      <c r="C325" s="7"/>
      <c r="D325" s="2"/>
      <c r="E325" s="7"/>
      <c r="F325" s="7"/>
      <c r="G325" s="7"/>
      <c r="H325" s="7"/>
    </row>
    <row r="326" spans="1:8" ht="13.2">
      <c r="A326" s="7"/>
      <c r="B326" s="8"/>
      <c r="C326" s="7"/>
      <c r="D326" s="2"/>
      <c r="E326" s="7"/>
      <c r="F326" s="7"/>
      <c r="G326" s="7"/>
      <c r="H326" s="7"/>
    </row>
    <row r="327" spans="1:8" ht="13.2">
      <c r="A327" s="7"/>
      <c r="B327" s="8"/>
      <c r="C327" s="7"/>
      <c r="D327" s="2"/>
      <c r="E327" s="7"/>
      <c r="F327" s="7"/>
      <c r="G327" s="7"/>
      <c r="H327" s="7"/>
    </row>
    <row r="328" spans="1:8" ht="13.2">
      <c r="A328" s="7"/>
      <c r="B328" s="8"/>
      <c r="C328" s="7"/>
      <c r="D328" s="2"/>
      <c r="E328" s="7"/>
      <c r="F328" s="7"/>
      <c r="G328" s="7"/>
      <c r="H328" s="7"/>
    </row>
    <row r="329" spans="1:8" ht="13.2">
      <c r="A329" s="7"/>
      <c r="B329" s="8"/>
      <c r="C329" s="7"/>
      <c r="D329" s="2"/>
      <c r="E329" s="7"/>
      <c r="F329" s="7"/>
      <c r="G329" s="7"/>
      <c r="H329" s="7"/>
    </row>
    <row r="330" spans="1:8" ht="13.2">
      <c r="A330" s="7"/>
      <c r="B330" s="8"/>
      <c r="C330" s="7"/>
      <c r="D330" s="2"/>
      <c r="E330" s="7"/>
      <c r="F330" s="7"/>
      <c r="G330" s="7"/>
      <c r="H330" s="7"/>
    </row>
    <row r="331" spans="1:8" ht="13.2">
      <c r="A331" s="7"/>
      <c r="B331" s="8"/>
      <c r="C331" s="7"/>
      <c r="D331" s="2"/>
      <c r="E331" s="7"/>
      <c r="F331" s="7"/>
      <c r="G331" s="7"/>
      <c r="H331" s="7"/>
    </row>
    <row r="332" spans="1:8" ht="13.2">
      <c r="A332" s="7"/>
      <c r="B332" s="8"/>
      <c r="C332" s="7"/>
      <c r="D332" s="2"/>
      <c r="E332" s="7"/>
      <c r="F332" s="7"/>
      <c r="G332" s="7"/>
      <c r="H332" s="7"/>
    </row>
    <row r="333" spans="1:8" ht="13.2">
      <c r="A333" s="7"/>
      <c r="B333" s="8"/>
      <c r="C333" s="7"/>
      <c r="D333" s="2"/>
      <c r="E333" s="7"/>
      <c r="F333" s="7"/>
      <c r="G333" s="7"/>
      <c r="H333" s="7"/>
    </row>
    <row r="334" spans="1:8" ht="13.2">
      <c r="A334" s="7"/>
      <c r="B334" s="8"/>
      <c r="C334" s="7"/>
      <c r="D334" s="2"/>
      <c r="E334" s="7"/>
      <c r="F334" s="7"/>
      <c r="G334" s="7"/>
      <c r="H334" s="7"/>
    </row>
    <row r="335" spans="1:8" ht="13.2">
      <c r="A335" s="7"/>
      <c r="B335" s="8"/>
      <c r="C335" s="7"/>
      <c r="D335" s="2"/>
      <c r="E335" s="7"/>
      <c r="F335" s="7"/>
      <c r="G335" s="7"/>
      <c r="H335" s="7"/>
    </row>
    <row r="336" spans="1:8" ht="13.2">
      <c r="A336" s="7"/>
      <c r="B336" s="8"/>
      <c r="C336" s="7"/>
      <c r="D336" s="2"/>
      <c r="E336" s="7"/>
      <c r="F336" s="7"/>
      <c r="G336" s="7"/>
      <c r="H336" s="7"/>
    </row>
    <row r="337" spans="1:8" ht="13.2">
      <c r="A337" s="7"/>
      <c r="B337" s="8"/>
      <c r="C337" s="7"/>
      <c r="D337" s="2"/>
      <c r="E337" s="7"/>
      <c r="F337" s="7"/>
      <c r="G337" s="7"/>
      <c r="H337" s="7"/>
    </row>
    <row r="338" spans="1:8" ht="13.2">
      <c r="A338" s="7"/>
      <c r="B338" s="8"/>
      <c r="C338" s="7"/>
      <c r="D338" s="2"/>
      <c r="E338" s="7"/>
      <c r="F338" s="7"/>
      <c r="G338" s="7"/>
      <c r="H338" s="7"/>
    </row>
    <row r="339" spans="1:8" ht="13.2">
      <c r="A339" s="7"/>
      <c r="B339" s="8"/>
      <c r="C339" s="7"/>
      <c r="D339" s="2"/>
      <c r="E339" s="7"/>
      <c r="F339" s="7"/>
      <c r="G339" s="7"/>
      <c r="H339" s="7"/>
    </row>
    <row r="340" spans="1:8" ht="13.2">
      <c r="A340" s="7"/>
      <c r="B340" s="8"/>
      <c r="C340" s="7"/>
      <c r="D340" s="2"/>
      <c r="E340" s="7"/>
      <c r="F340" s="7"/>
      <c r="G340" s="7"/>
      <c r="H340" s="7"/>
    </row>
    <row r="341" spans="1:8" ht="13.2">
      <c r="A341" s="7"/>
      <c r="B341" s="8"/>
      <c r="C341" s="7"/>
      <c r="D341" s="2"/>
      <c r="E341" s="7"/>
      <c r="F341" s="7"/>
      <c r="G341" s="7"/>
      <c r="H341" s="7"/>
    </row>
    <row r="342" spans="1:8" ht="13.2">
      <c r="A342" s="7"/>
      <c r="B342" s="8"/>
      <c r="C342" s="7"/>
      <c r="D342" s="2"/>
      <c r="E342" s="7"/>
      <c r="F342" s="7"/>
      <c r="G342" s="7"/>
      <c r="H342" s="7"/>
    </row>
    <row r="343" spans="1:8" ht="13.2">
      <c r="A343" s="7"/>
      <c r="B343" s="8"/>
      <c r="C343" s="7"/>
      <c r="D343" s="2"/>
      <c r="E343" s="7"/>
      <c r="F343" s="7"/>
      <c r="G343" s="7"/>
      <c r="H343" s="7"/>
    </row>
    <row r="344" spans="1:8" ht="13.2">
      <c r="A344" s="7"/>
      <c r="B344" s="8"/>
      <c r="C344" s="7"/>
      <c r="D344" s="2"/>
      <c r="E344" s="7"/>
      <c r="F344" s="7"/>
      <c r="G344" s="7"/>
      <c r="H344" s="7"/>
    </row>
    <row r="345" spans="1:8" ht="13.2">
      <c r="A345" s="7"/>
      <c r="B345" s="8"/>
      <c r="C345" s="7"/>
      <c r="D345" s="2"/>
      <c r="E345" s="7"/>
      <c r="F345" s="7"/>
      <c r="G345" s="7"/>
      <c r="H345" s="7"/>
    </row>
    <row r="346" spans="1:8" ht="13.2">
      <c r="A346" s="7"/>
      <c r="B346" s="8"/>
      <c r="C346" s="7"/>
      <c r="D346" s="2"/>
      <c r="E346" s="7"/>
      <c r="F346" s="7"/>
      <c r="G346" s="7"/>
      <c r="H346" s="7"/>
    </row>
    <row r="347" spans="1:8" ht="13.2">
      <c r="A347" s="7"/>
      <c r="B347" s="8"/>
      <c r="C347" s="7"/>
      <c r="D347" s="2"/>
      <c r="E347" s="7"/>
      <c r="F347" s="7"/>
      <c r="G347" s="7"/>
      <c r="H347" s="7"/>
    </row>
    <row r="348" spans="1:8" ht="13.2">
      <c r="A348" s="7"/>
      <c r="B348" s="8"/>
      <c r="C348" s="7"/>
      <c r="D348" s="2"/>
      <c r="E348" s="7"/>
      <c r="F348" s="7"/>
      <c r="G348" s="7"/>
      <c r="H348" s="7"/>
    </row>
    <row r="349" spans="1:8" ht="13.2">
      <c r="A349" s="7"/>
      <c r="B349" s="8"/>
      <c r="C349" s="7"/>
      <c r="D349" s="2"/>
      <c r="E349" s="7"/>
      <c r="F349" s="7"/>
      <c r="G349" s="7"/>
      <c r="H349" s="7"/>
    </row>
    <row r="350" spans="1:8" ht="13.2">
      <c r="A350" s="7"/>
      <c r="B350" s="8"/>
      <c r="C350" s="7"/>
      <c r="D350" s="2"/>
      <c r="E350" s="7"/>
      <c r="F350" s="7"/>
      <c r="G350" s="7"/>
      <c r="H350" s="7"/>
    </row>
    <row r="351" spans="1:8" ht="13.2">
      <c r="A351" s="7"/>
      <c r="B351" s="8"/>
      <c r="C351" s="7"/>
      <c r="D351" s="2"/>
      <c r="E351" s="7"/>
      <c r="F351" s="7"/>
      <c r="G351" s="7"/>
      <c r="H351" s="7"/>
    </row>
    <row r="352" spans="1:8" ht="13.2">
      <c r="A352" s="7"/>
      <c r="B352" s="8"/>
      <c r="C352" s="7"/>
      <c r="D352" s="2"/>
      <c r="E352" s="7"/>
      <c r="F352" s="7"/>
      <c r="G352" s="7"/>
      <c r="H352" s="7"/>
    </row>
    <row r="353" spans="2:4" ht="13.2">
      <c r="B353" s="1"/>
      <c r="D353" s="2"/>
    </row>
    <row r="354" spans="2:4" ht="13.2">
      <c r="B354" s="1"/>
      <c r="D354" s="2"/>
    </row>
    <row r="355" spans="2:4" ht="13.2">
      <c r="B355" s="1"/>
      <c r="D355" s="2"/>
    </row>
    <row r="356" spans="2:4" ht="13.2">
      <c r="B356" s="1"/>
      <c r="D356" s="2"/>
    </row>
    <row r="357" spans="2:4" ht="13.2">
      <c r="B357" s="1"/>
      <c r="D357" s="2"/>
    </row>
    <row r="358" spans="2:4" ht="13.2">
      <c r="B358" s="1"/>
      <c r="D358" s="2"/>
    </row>
    <row r="359" spans="2:4" ht="13.2">
      <c r="B359" s="1"/>
      <c r="D359" s="2"/>
    </row>
    <row r="360" spans="2:4" ht="13.2">
      <c r="B360" s="1"/>
      <c r="D360" s="2"/>
    </row>
    <row r="361" spans="2:4" ht="13.2">
      <c r="B361" s="1"/>
      <c r="D361" s="2"/>
    </row>
    <row r="362" spans="2:4" ht="13.2">
      <c r="B362" s="1"/>
      <c r="D362" s="2"/>
    </row>
    <row r="363" spans="2:4" ht="13.2">
      <c r="B363" s="1"/>
      <c r="D363" s="2"/>
    </row>
    <row r="364" spans="2:4" ht="13.2">
      <c r="B364" s="1"/>
      <c r="D364" s="2"/>
    </row>
    <row r="365" spans="2:4" ht="13.2">
      <c r="B365" s="1"/>
      <c r="D365" s="2"/>
    </row>
    <row r="366" spans="2:4" ht="13.2">
      <c r="B366" s="1"/>
      <c r="D366" s="2"/>
    </row>
    <row r="367" spans="2:4" ht="13.2">
      <c r="B367" s="1"/>
      <c r="D367" s="2"/>
    </row>
    <row r="368" spans="2:4" ht="13.2">
      <c r="B368" s="1"/>
      <c r="D368" s="2"/>
    </row>
    <row r="369" spans="2:4" ht="13.2">
      <c r="B369" s="1"/>
      <c r="D369" s="2"/>
    </row>
    <row r="370" spans="2:4" ht="13.2">
      <c r="B370" s="1"/>
      <c r="D370" s="2"/>
    </row>
    <row r="371" spans="2:4" ht="13.2">
      <c r="B371" s="1"/>
      <c r="D371" s="2"/>
    </row>
    <row r="372" spans="2:4" ht="13.2">
      <c r="B372" s="1"/>
      <c r="D372" s="2"/>
    </row>
    <row r="373" spans="2:4" ht="13.2">
      <c r="B373" s="1"/>
      <c r="D373" s="2"/>
    </row>
    <row r="374" spans="2:4" ht="13.2">
      <c r="B374" s="1"/>
      <c r="D374" s="2"/>
    </row>
    <row r="375" spans="2:4" ht="13.2">
      <c r="B375" s="1"/>
      <c r="D375" s="2"/>
    </row>
    <row r="376" spans="2:4" ht="13.2">
      <c r="B376" s="1"/>
      <c r="D376" s="2"/>
    </row>
    <row r="377" spans="2:4" ht="13.2">
      <c r="B377" s="1"/>
      <c r="D377" s="2"/>
    </row>
    <row r="378" spans="2:4" ht="13.2">
      <c r="B378" s="1"/>
      <c r="D378" s="2"/>
    </row>
    <row r="379" spans="2:4" ht="13.2">
      <c r="B379" s="1"/>
      <c r="D379" s="2"/>
    </row>
    <row r="380" spans="2:4" ht="13.2">
      <c r="B380" s="1"/>
      <c r="D380" s="2"/>
    </row>
    <row r="381" spans="2:4" ht="13.2">
      <c r="B381" s="1"/>
      <c r="D381" s="2"/>
    </row>
    <row r="382" spans="2:4" ht="13.2">
      <c r="B382" s="1"/>
      <c r="D382" s="2"/>
    </row>
    <row r="383" spans="2:4" ht="13.2">
      <c r="B383" s="1"/>
      <c r="D383" s="2"/>
    </row>
    <row r="384" spans="2:4" ht="13.2">
      <c r="B384" s="1"/>
      <c r="D384" s="2"/>
    </row>
    <row r="385" spans="2:4" ht="13.2">
      <c r="B385" s="1"/>
      <c r="D385" s="2"/>
    </row>
    <row r="386" spans="2:4" ht="13.2">
      <c r="B386" s="1"/>
      <c r="D386" s="2"/>
    </row>
    <row r="387" spans="2:4" ht="13.2">
      <c r="B387" s="1"/>
      <c r="D387" s="2"/>
    </row>
    <row r="388" spans="2:4" ht="13.2">
      <c r="B388" s="1"/>
      <c r="D388" s="2"/>
    </row>
    <row r="389" spans="2:4" ht="13.2">
      <c r="B389" s="1"/>
      <c r="D389" s="2"/>
    </row>
    <row r="390" spans="2:4" ht="13.2">
      <c r="B390" s="1"/>
      <c r="D390" s="2"/>
    </row>
    <row r="391" spans="2:4" ht="13.2">
      <c r="B391" s="1"/>
      <c r="D391" s="2"/>
    </row>
    <row r="392" spans="2:4" ht="13.2">
      <c r="B392" s="1"/>
      <c r="D392" s="2"/>
    </row>
    <row r="393" spans="2:4" ht="13.2">
      <c r="B393" s="1"/>
      <c r="D393" s="2"/>
    </row>
    <row r="394" spans="2:4" ht="13.2">
      <c r="B394" s="1"/>
      <c r="D394" s="2"/>
    </row>
    <row r="395" spans="2:4" ht="13.2">
      <c r="B395" s="1"/>
      <c r="D395" s="2"/>
    </row>
    <row r="396" spans="2:4" ht="13.2">
      <c r="B396" s="1"/>
      <c r="D396" s="2"/>
    </row>
    <row r="397" spans="2:4" ht="13.2">
      <c r="B397" s="1"/>
      <c r="D397" s="2"/>
    </row>
    <row r="398" spans="2:4" ht="13.2">
      <c r="B398" s="1"/>
      <c r="D398" s="2"/>
    </row>
    <row r="399" spans="2:4" ht="13.2">
      <c r="B399" s="1"/>
      <c r="D399" s="2"/>
    </row>
    <row r="400" spans="2:4" ht="13.2">
      <c r="B400" s="1"/>
      <c r="D400" s="2"/>
    </row>
    <row r="401" spans="2:4" ht="13.2">
      <c r="B401" s="1"/>
      <c r="D401" s="2"/>
    </row>
    <row r="402" spans="2:4" ht="13.2">
      <c r="B402" s="1"/>
      <c r="D402" s="2"/>
    </row>
    <row r="403" spans="2:4" ht="13.2">
      <c r="B403" s="1"/>
      <c r="D403" s="2"/>
    </row>
    <row r="404" spans="2:4" ht="13.2">
      <c r="B404" s="1"/>
      <c r="D404" s="2"/>
    </row>
    <row r="405" spans="2:4" ht="13.2">
      <c r="B405" s="1"/>
      <c r="D405" s="2"/>
    </row>
    <row r="406" spans="2:4" ht="13.2">
      <c r="B406" s="1"/>
      <c r="D406" s="2"/>
    </row>
    <row r="407" spans="2:4" ht="13.2">
      <c r="B407" s="1"/>
      <c r="D407" s="2"/>
    </row>
    <row r="408" spans="2:4" ht="13.2">
      <c r="B408" s="1"/>
      <c r="D408" s="2"/>
    </row>
    <row r="409" spans="2:4" ht="13.2">
      <c r="B409" s="1"/>
      <c r="D409" s="2"/>
    </row>
    <row r="410" spans="2:4" ht="13.2">
      <c r="B410" s="1"/>
      <c r="D410" s="2"/>
    </row>
    <row r="411" spans="2:4" ht="13.2">
      <c r="B411" s="1"/>
      <c r="D411" s="2"/>
    </row>
    <row r="412" spans="2:4" ht="13.2">
      <c r="B412" s="1"/>
      <c r="D412" s="2"/>
    </row>
    <row r="413" spans="2:4" ht="13.2">
      <c r="B413" s="1"/>
      <c r="D413" s="2"/>
    </row>
    <row r="414" spans="2:4" ht="13.2">
      <c r="B414" s="1"/>
      <c r="D414" s="2"/>
    </row>
    <row r="415" spans="2:4" ht="13.2">
      <c r="B415" s="1"/>
      <c r="D415" s="2"/>
    </row>
    <row r="416" spans="2:4" ht="13.2">
      <c r="B416" s="1"/>
      <c r="D416" s="2"/>
    </row>
    <row r="417" spans="2:4" ht="13.2">
      <c r="B417" s="1"/>
      <c r="D417" s="2"/>
    </row>
    <row r="418" spans="2:4" ht="13.2">
      <c r="B418" s="1"/>
      <c r="D418" s="2"/>
    </row>
    <row r="419" spans="2:4" ht="13.2">
      <c r="B419" s="1"/>
      <c r="D419" s="2"/>
    </row>
    <row r="420" spans="2:4" ht="13.2">
      <c r="B420" s="1"/>
      <c r="D420" s="2"/>
    </row>
    <row r="421" spans="2:4" ht="13.2">
      <c r="B421" s="1"/>
      <c r="D421" s="2"/>
    </row>
    <row r="422" spans="2:4" ht="13.2">
      <c r="B422" s="1"/>
      <c r="D422" s="2"/>
    </row>
    <row r="423" spans="2:4" ht="13.2">
      <c r="B423" s="1"/>
      <c r="D423" s="2"/>
    </row>
    <row r="424" spans="2:4" ht="13.2">
      <c r="B424" s="1"/>
      <c r="D424" s="2"/>
    </row>
    <row r="425" spans="2:4" ht="13.2">
      <c r="B425" s="1"/>
      <c r="D425" s="2"/>
    </row>
    <row r="426" spans="2:4" ht="13.2">
      <c r="B426" s="1"/>
      <c r="D426" s="2"/>
    </row>
    <row r="427" spans="2:4" ht="13.2">
      <c r="B427" s="1"/>
      <c r="D427" s="2"/>
    </row>
    <row r="428" spans="2:4" ht="13.2">
      <c r="B428" s="1"/>
      <c r="D428" s="2"/>
    </row>
    <row r="429" spans="2:4" ht="13.2">
      <c r="B429" s="1"/>
      <c r="D429" s="2"/>
    </row>
    <row r="430" spans="2:4" ht="13.2">
      <c r="B430" s="1"/>
      <c r="D430" s="2"/>
    </row>
    <row r="431" spans="2:4" ht="13.2">
      <c r="B431" s="1"/>
      <c r="D431" s="2"/>
    </row>
    <row r="432" spans="2:4" ht="13.2">
      <c r="B432" s="1"/>
      <c r="D432" s="2"/>
    </row>
    <row r="433" spans="2:4" ht="13.2">
      <c r="B433" s="1"/>
      <c r="D433" s="2"/>
    </row>
    <row r="434" spans="2:4" ht="13.2">
      <c r="B434" s="1"/>
      <c r="D434" s="2"/>
    </row>
    <row r="435" spans="2:4" ht="13.2">
      <c r="B435" s="1"/>
      <c r="D435" s="2"/>
    </row>
    <row r="436" spans="2:4" ht="13.2">
      <c r="B436" s="1"/>
      <c r="D436" s="2"/>
    </row>
    <row r="437" spans="2:4" ht="13.2">
      <c r="B437" s="1"/>
      <c r="D437" s="2"/>
    </row>
    <row r="438" spans="2:4" ht="13.2">
      <c r="B438" s="1"/>
      <c r="D438" s="2"/>
    </row>
    <row r="439" spans="2:4" ht="13.2">
      <c r="B439" s="1"/>
      <c r="D439" s="2"/>
    </row>
    <row r="440" spans="2:4" ht="13.2">
      <c r="B440" s="1"/>
      <c r="D440" s="2"/>
    </row>
    <row r="441" spans="2:4" ht="13.2">
      <c r="B441" s="1"/>
      <c r="D441" s="2"/>
    </row>
    <row r="442" spans="2:4" ht="13.2">
      <c r="B442" s="1"/>
      <c r="D442" s="2"/>
    </row>
    <row r="443" spans="2:4" ht="13.2">
      <c r="B443" s="1"/>
      <c r="D443" s="2"/>
    </row>
    <row r="444" spans="2:4" ht="13.2">
      <c r="B444" s="1"/>
      <c r="D444" s="2"/>
    </row>
    <row r="445" spans="2:4" ht="13.2">
      <c r="B445" s="1"/>
      <c r="D445" s="2"/>
    </row>
    <row r="446" spans="2:4" ht="13.2">
      <c r="B446" s="1"/>
      <c r="D446" s="2"/>
    </row>
    <row r="447" spans="2:4" ht="13.2">
      <c r="B447" s="1"/>
      <c r="D447" s="2"/>
    </row>
    <row r="448" spans="2:4" ht="13.2">
      <c r="B448" s="1"/>
      <c r="D448" s="2"/>
    </row>
    <row r="449" spans="2:4" ht="13.2">
      <c r="B449" s="1"/>
      <c r="D449" s="2"/>
    </row>
    <row r="450" spans="2:4" ht="13.2">
      <c r="B450" s="1"/>
      <c r="D450" s="2"/>
    </row>
    <row r="451" spans="2:4" ht="13.2">
      <c r="B451" s="1"/>
      <c r="D451" s="2"/>
    </row>
    <row r="452" spans="2:4" ht="13.2">
      <c r="B452" s="1"/>
      <c r="D452" s="2"/>
    </row>
    <row r="453" spans="2:4" ht="13.2">
      <c r="B453" s="1"/>
      <c r="D453" s="2"/>
    </row>
    <row r="454" spans="2:4" ht="13.2">
      <c r="B454" s="1"/>
      <c r="D454" s="2"/>
    </row>
    <row r="455" spans="2:4" ht="13.2">
      <c r="B455" s="1"/>
      <c r="D455" s="2"/>
    </row>
    <row r="456" spans="2:4" ht="13.2">
      <c r="B456" s="1"/>
      <c r="D456" s="2"/>
    </row>
    <row r="457" spans="2:4" ht="13.2">
      <c r="B457" s="1"/>
      <c r="D457" s="2"/>
    </row>
    <row r="458" spans="2:4" ht="13.2">
      <c r="B458" s="1"/>
      <c r="D458" s="2"/>
    </row>
    <row r="459" spans="2:4" ht="13.2">
      <c r="B459" s="1"/>
      <c r="D459" s="2"/>
    </row>
    <row r="460" spans="2:4" ht="13.2">
      <c r="B460" s="1"/>
      <c r="D460" s="2"/>
    </row>
    <row r="461" spans="2:4" ht="13.2">
      <c r="B461" s="1"/>
      <c r="D461" s="2"/>
    </row>
    <row r="462" spans="2:4" ht="13.2">
      <c r="B462" s="1"/>
      <c r="D462" s="2"/>
    </row>
    <row r="463" spans="2:4" ht="13.2">
      <c r="B463" s="1"/>
      <c r="D463" s="2"/>
    </row>
    <row r="464" spans="2:4" ht="13.2">
      <c r="B464" s="1"/>
      <c r="D464" s="2"/>
    </row>
    <row r="465" spans="2:4" ht="13.2">
      <c r="B465" s="1"/>
      <c r="D465" s="2"/>
    </row>
    <row r="466" spans="2:4" ht="13.2">
      <c r="B466" s="1"/>
      <c r="D466" s="2"/>
    </row>
    <row r="467" spans="2:4" ht="13.2">
      <c r="B467" s="1"/>
      <c r="D467" s="2"/>
    </row>
    <row r="468" spans="2:4" ht="13.2">
      <c r="B468" s="1"/>
      <c r="D468" s="2"/>
    </row>
    <row r="469" spans="2:4" ht="13.2">
      <c r="B469" s="1"/>
      <c r="D469" s="2"/>
    </row>
    <row r="470" spans="2:4" ht="13.2">
      <c r="B470" s="1"/>
      <c r="D470" s="2"/>
    </row>
    <row r="471" spans="2:4" ht="13.2">
      <c r="B471" s="1"/>
      <c r="D471" s="2"/>
    </row>
    <row r="472" spans="2:4" ht="13.2">
      <c r="B472" s="1"/>
      <c r="D472" s="2"/>
    </row>
    <row r="473" spans="2:4" ht="13.2">
      <c r="B473" s="1"/>
      <c r="D473" s="2"/>
    </row>
    <row r="474" spans="2:4" ht="13.2">
      <c r="B474" s="1"/>
      <c r="D474" s="2"/>
    </row>
    <row r="475" spans="2:4" ht="13.2">
      <c r="B475" s="1"/>
      <c r="D475" s="2"/>
    </row>
    <row r="476" spans="2:4" ht="13.2">
      <c r="B476" s="1"/>
      <c r="D476" s="2"/>
    </row>
    <row r="477" spans="2:4" ht="13.2">
      <c r="B477" s="1"/>
      <c r="D477" s="2"/>
    </row>
    <row r="478" spans="2:4" ht="13.2">
      <c r="B478" s="1"/>
      <c r="D478" s="2"/>
    </row>
    <row r="479" spans="2:4" ht="13.2">
      <c r="B479" s="1"/>
      <c r="D479" s="2"/>
    </row>
    <row r="480" spans="2:4" ht="13.2">
      <c r="B480" s="1"/>
      <c r="D480" s="2"/>
    </row>
    <row r="481" spans="2:4" ht="13.2">
      <c r="B481" s="1"/>
      <c r="D481" s="2"/>
    </row>
    <row r="482" spans="2:4" ht="13.2">
      <c r="B482" s="1"/>
      <c r="D482" s="2"/>
    </row>
    <row r="483" spans="2:4" ht="13.2">
      <c r="B483" s="1"/>
      <c r="D483" s="2"/>
    </row>
    <row r="484" spans="2:4" ht="13.2">
      <c r="B484" s="1"/>
      <c r="D484" s="2"/>
    </row>
    <row r="485" spans="2:4" ht="13.2">
      <c r="B485" s="1"/>
      <c r="D485" s="2"/>
    </row>
    <row r="486" spans="2:4" ht="13.2">
      <c r="B486" s="1"/>
      <c r="D486" s="2"/>
    </row>
    <row r="487" spans="2:4" ht="13.2">
      <c r="B487" s="1"/>
      <c r="D487" s="2"/>
    </row>
    <row r="488" spans="2:4" ht="13.2">
      <c r="B488" s="1"/>
      <c r="D488" s="2"/>
    </row>
    <row r="489" spans="2:4" ht="13.2">
      <c r="B489" s="1"/>
      <c r="D489" s="2"/>
    </row>
    <row r="490" spans="2:4" ht="13.2">
      <c r="B490" s="1"/>
      <c r="D490" s="2"/>
    </row>
    <row r="491" spans="2:4" ht="13.2">
      <c r="B491" s="1"/>
      <c r="D491" s="2"/>
    </row>
    <row r="492" spans="2:4" ht="13.2">
      <c r="B492" s="1"/>
      <c r="D492" s="2"/>
    </row>
    <row r="493" spans="2:4" ht="13.2">
      <c r="B493" s="1"/>
      <c r="D493" s="2"/>
    </row>
    <row r="494" spans="2:4" ht="13.2">
      <c r="B494" s="1"/>
      <c r="D494" s="2"/>
    </row>
    <row r="495" spans="2:4" ht="13.2">
      <c r="B495" s="1"/>
      <c r="D495" s="2"/>
    </row>
    <row r="496" spans="2:4" ht="13.2">
      <c r="B496" s="1"/>
      <c r="D496" s="2"/>
    </row>
    <row r="497" spans="2:4" ht="13.2">
      <c r="B497" s="1"/>
      <c r="D497" s="2"/>
    </row>
    <row r="498" spans="2:4" ht="13.2">
      <c r="B498" s="1"/>
      <c r="D498" s="2"/>
    </row>
    <row r="499" spans="2:4" ht="13.2">
      <c r="B499" s="1"/>
      <c r="D499" s="2"/>
    </row>
    <row r="500" spans="2:4" ht="13.2">
      <c r="B500" s="1"/>
      <c r="D500" s="2"/>
    </row>
    <row r="501" spans="2:4" ht="13.2">
      <c r="B501" s="1"/>
      <c r="D501" s="2"/>
    </row>
    <row r="502" spans="2:4" ht="13.2">
      <c r="B502" s="1"/>
      <c r="D502" s="2"/>
    </row>
    <row r="503" spans="2:4" ht="13.2">
      <c r="B503" s="1"/>
      <c r="D503" s="2"/>
    </row>
    <row r="504" spans="2:4" ht="13.2">
      <c r="B504" s="1"/>
      <c r="D504" s="2"/>
    </row>
    <row r="505" spans="2:4" ht="13.2">
      <c r="B505" s="1"/>
      <c r="D505" s="2"/>
    </row>
    <row r="506" spans="2:4" ht="13.2">
      <c r="B506" s="1"/>
      <c r="D506" s="2"/>
    </row>
    <row r="507" spans="2:4" ht="13.2">
      <c r="B507" s="1"/>
      <c r="D507" s="2"/>
    </row>
    <row r="508" spans="2:4" ht="13.2">
      <c r="B508" s="1"/>
      <c r="D508" s="2"/>
    </row>
    <row r="509" spans="2:4" ht="13.2">
      <c r="B509" s="1"/>
      <c r="D509" s="2"/>
    </row>
    <row r="510" spans="2:4" ht="13.2">
      <c r="B510" s="1"/>
      <c r="D510" s="2"/>
    </row>
    <row r="511" spans="2:4" ht="13.2">
      <c r="B511" s="1"/>
      <c r="D511" s="2"/>
    </row>
    <row r="512" spans="2:4" ht="13.2">
      <c r="B512" s="1"/>
      <c r="D512" s="2"/>
    </row>
    <row r="513" spans="2:4" ht="13.2">
      <c r="B513" s="1"/>
      <c r="D513" s="2"/>
    </row>
    <row r="514" spans="2:4" ht="13.2">
      <c r="B514" s="1"/>
      <c r="D514" s="2"/>
    </row>
    <row r="515" spans="2:4" ht="13.2">
      <c r="B515" s="1"/>
      <c r="D515" s="2"/>
    </row>
    <row r="516" spans="2:4" ht="13.2">
      <c r="B516" s="1"/>
      <c r="D516" s="2"/>
    </row>
    <row r="517" spans="2:4" ht="13.2">
      <c r="B517" s="1"/>
      <c r="D517" s="2"/>
    </row>
    <row r="518" spans="2:4" ht="13.2">
      <c r="B518" s="1"/>
      <c r="D518" s="2"/>
    </row>
    <row r="519" spans="2:4" ht="13.2">
      <c r="B519" s="1"/>
      <c r="D519" s="2"/>
    </row>
    <row r="520" spans="2:4" ht="13.2">
      <c r="B520" s="1"/>
      <c r="D520" s="2"/>
    </row>
    <row r="521" spans="2:4" ht="13.2">
      <c r="B521" s="1"/>
      <c r="D521" s="2"/>
    </row>
    <row r="522" spans="2:4" ht="13.2">
      <c r="B522" s="1"/>
      <c r="D522" s="2"/>
    </row>
    <row r="523" spans="2:4" ht="13.2">
      <c r="B523" s="1"/>
      <c r="D523" s="2"/>
    </row>
    <row r="524" spans="2:4" ht="13.2">
      <c r="B524" s="1"/>
      <c r="D524" s="2"/>
    </row>
    <row r="525" spans="2:4" ht="13.2">
      <c r="B525" s="1"/>
      <c r="D525" s="2"/>
    </row>
    <row r="526" spans="2:4" ht="13.2">
      <c r="B526" s="1"/>
      <c r="D526" s="2"/>
    </row>
    <row r="527" spans="2:4" ht="13.2">
      <c r="B527" s="1"/>
      <c r="D527" s="2"/>
    </row>
    <row r="528" spans="2:4" ht="13.2">
      <c r="B528" s="1"/>
      <c r="D528" s="2"/>
    </row>
    <row r="529" spans="2:4" ht="13.2">
      <c r="B529" s="1"/>
      <c r="D529" s="2"/>
    </row>
    <row r="530" spans="2:4" ht="13.2">
      <c r="B530" s="1"/>
      <c r="D530" s="2"/>
    </row>
    <row r="531" spans="2:4" ht="13.2">
      <c r="B531" s="1"/>
      <c r="D531" s="2"/>
    </row>
    <row r="532" spans="2:4" ht="13.2">
      <c r="B532" s="1"/>
      <c r="D532" s="2"/>
    </row>
    <row r="533" spans="2:4" ht="13.2">
      <c r="B533" s="1"/>
      <c r="D533" s="2"/>
    </row>
    <row r="534" spans="2:4" ht="13.2">
      <c r="B534" s="1"/>
      <c r="D534" s="2"/>
    </row>
    <row r="535" spans="2:4" ht="13.2">
      <c r="B535" s="1"/>
      <c r="D535" s="2"/>
    </row>
    <row r="536" spans="2:4" ht="13.2">
      <c r="B536" s="1"/>
      <c r="D536" s="2"/>
    </row>
    <row r="537" spans="2:4" ht="13.2">
      <c r="B537" s="1"/>
      <c r="D537" s="2"/>
    </row>
    <row r="538" spans="2:4" ht="13.2">
      <c r="B538" s="1"/>
      <c r="D538" s="2"/>
    </row>
    <row r="539" spans="2:4" ht="13.2">
      <c r="B539" s="1"/>
      <c r="D539" s="2"/>
    </row>
    <row r="540" spans="2:4" ht="13.2">
      <c r="B540" s="1"/>
      <c r="D540" s="2"/>
    </row>
    <row r="541" spans="2:4" ht="13.2">
      <c r="B541" s="1"/>
      <c r="D541" s="2"/>
    </row>
    <row r="542" spans="2:4" ht="13.2">
      <c r="B542" s="1"/>
      <c r="D542" s="2"/>
    </row>
    <row r="543" spans="2:4" ht="13.2">
      <c r="B543" s="1"/>
      <c r="D543" s="2"/>
    </row>
    <row r="544" spans="2:4" ht="13.2">
      <c r="B544" s="1"/>
      <c r="D544" s="2"/>
    </row>
    <row r="545" spans="2:4" ht="13.2">
      <c r="B545" s="1"/>
      <c r="D545" s="2"/>
    </row>
    <row r="546" spans="2:4" ht="13.2">
      <c r="B546" s="1"/>
      <c r="D546" s="2"/>
    </row>
    <row r="547" spans="2:4" ht="13.2">
      <c r="B547" s="1"/>
      <c r="D547" s="2"/>
    </row>
    <row r="548" spans="2:4" ht="13.2">
      <c r="B548" s="1"/>
      <c r="D548" s="2"/>
    </row>
    <row r="549" spans="2:4" ht="13.2">
      <c r="B549" s="1"/>
      <c r="D549" s="2"/>
    </row>
    <row r="550" spans="2:4" ht="13.2">
      <c r="B550" s="1"/>
      <c r="D550" s="2"/>
    </row>
    <row r="551" spans="2:4" ht="13.2">
      <c r="B551" s="1"/>
      <c r="D551" s="2"/>
    </row>
    <row r="552" spans="2:4" ht="13.2">
      <c r="B552" s="1"/>
      <c r="D552" s="2"/>
    </row>
    <row r="553" spans="2:4" ht="13.2">
      <c r="B553" s="1"/>
      <c r="D553" s="2"/>
    </row>
    <row r="554" spans="2:4" ht="13.2">
      <c r="B554" s="1"/>
      <c r="D554" s="2"/>
    </row>
    <row r="555" spans="2:4" ht="13.2">
      <c r="B555" s="1"/>
      <c r="D555" s="2"/>
    </row>
    <row r="556" spans="2:4" ht="13.2">
      <c r="B556" s="1"/>
      <c r="D556" s="2"/>
    </row>
    <row r="557" spans="2:4" ht="13.2">
      <c r="B557" s="1"/>
      <c r="D557" s="2"/>
    </row>
    <row r="558" spans="2:4" ht="13.2">
      <c r="B558" s="1"/>
      <c r="D558" s="2"/>
    </row>
    <row r="559" spans="2:4" ht="13.2">
      <c r="B559" s="1"/>
      <c r="D559" s="2"/>
    </row>
    <row r="560" spans="2:4" ht="13.2">
      <c r="B560" s="1"/>
      <c r="D560" s="2"/>
    </row>
    <row r="561" spans="2:4" ht="13.2">
      <c r="B561" s="1"/>
      <c r="D561" s="2"/>
    </row>
    <row r="562" spans="2:4" ht="13.2">
      <c r="B562" s="1"/>
      <c r="D562" s="2"/>
    </row>
    <row r="563" spans="2:4" ht="13.2">
      <c r="B563" s="1"/>
      <c r="D563" s="2"/>
    </row>
    <row r="564" spans="2:4" ht="13.2">
      <c r="B564" s="1"/>
      <c r="D564" s="2"/>
    </row>
    <row r="565" spans="2:4" ht="13.2">
      <c r="B565" s="1"/>
      <c r="D565" s="2"/>
    </row>
    <row r="566" spans="2:4" ht="13.2">
      <c r="B566" s="1"/>
      <c r="D566" s="2"/>
    </row>
    <row r="567" spans="2:4" ht="13.2">
      <c r="B567" s="1"/>
      <c r="D567" s="2"/>
    </row>
    <row r="568" spans="2:4" ht="13.2">
      <c r="B568" s="1"/>
      <c r="D568" s="2"/>
    </row>
    <row r="569" spans="2:4" ht="13.2">
      <c r="B569" s="1"/>
      <c r="D569" s="2"/>
    </row>
    <row r="570" spans="2:4" ht="13.2">
      <c r="B570" s="1"/>
      <c r="D570" s="2"/>
    </row>
    <row r="571" spans="2:4" ht="13.2">
      <c r="B571" s="1"/>
      <c r="D571" s="2"/>
    </row>
    <row r="572" spans="2:4" ht="13.2">
      <c r="B572" s="1"/>
      <c r="D572" s="2"/>
    </row>
    <row r="573" spans="2:4" ht="13.2">
      <c r="B573" s="1"/>
      <c r="D573" s="2"/>
    </row>
    <row r="574" spans="2:4" ht="13.2">
      <c r="B574" s="1"/>
      <c r="D574" s="2"/>
    </row>
    <row r="575" spans="2:4" ht="13.2">
      <c r="B575" s="1"/>
      <c r="D575" s="2"/>
    </row>
    <row r="576" spans="2:4" ht="13.2">
      <c r="B576" s="1"/>
      <c r="D576" s="2"/>
    </row>
    <row r="577" spans="2:4" ht="13.2">
      <c r="B577" s="1"/>
      <c r="D577" s="2"/>
    </row>
    <row r="578" spans="2:4" ht="13.2">
      <c r="B578" s="1"/>
      <c r="D578" s="2"/>
    </row>
    <row r="579" spans="2:4" ht="13.2">
      <c r="B579" s="1"/>
      <c r="D579" s="2"/>
    </row>
    <row r="580" spans="2:4" ht="13.2">
      <c r="B580" s="1"/>
      <c r="D580" s="2"/>
    </row>
    <row r="581" spans="2:4" ht="13.2">
      <c r="B581" s="1"/>
      <c r="D581" s="2"/>
    </row>
    <row r="582" spans="2:4" ht="13.2">
      <c r="B582" s="1"/>
      <c r="D582" s="2"/>
    </row>
    <row r="583" spans="2:4" ht="13.2">
      <c r="B583" s="1"/>
      <c r="D583" s="2"/>
    </row>
    <row r="584" spans="2:4" ht="13.2">
      <c r="B584" s="1"/>
      <c r="D584" s="2"/>
    </row>
    <row r="585" spans="2:4" ht="13.2">
      <c r="B585" s="1"/>
      <c r="D585" s="2"/>
    </row>
    <row r="586" spans="2:4" ht="13.2">
      <c r="B586" s="1"/>
      <c r="D586" s="2"/>
    </row>
    <row r="587" spans="2:4" ht="13.2">
      <c r="B587" s="1"/>
      <c r="D587" s="2"/>
    </row>
    <row r="588" spans="2:4" ht="13.2">
      <c r="B588" s="1"/>
      <c r="D588" s="2"/>
    </row>
    <row r="589" spans="2:4" ht="13.2">
      <c r="B589" s="1"/>
      <c r="D589" s="2"/>
    </row>
    <row r="590" spans="2:4" ht="13.2">
      <c r="B590" s="1"/>
      <c r="D590" s="2"/>
    </row>
    <row r="591" spans="2:4" ht="13.2">
      <c r="B591" s="1"/>
      <c r="D591" s="2"/>
    </row>
    <row r="592" spans="2:4" ht="13.2">
      <c r="B592" s="1"/>
      <c r="D592" s="2"/>
    </row>
    <row r="593" spans="2:4" ht="13.2">
      <c r="B593" s="1"/>
      <c r="D593" s="2"/>
    </row>
    <row r="594" spans="2:4" ht="13.2">
      <c r="B594" s="1"/>
      <c r="D594" s="2"/>
    </row>
    <row r="595" spans="2:4" ht="13.2">
      <c r="B595" s="1"/>
      <c r="D595" s="2"/>
    </row>
    <row r="596" spans="2:4" ht="13.2">
      <c r="B596" s="1"/>
      <c r="D596" s="2"/>
    </row>
    <row r="597" spans="2:4" ht="13.2">
      <c r="B597" s="1"/>
      <c r="D597" s="2"/>
    </row>
    <row r="598" spans="2:4" ht="13.2">
      <c r="B598" s="1"/>
      <c r="D598" s="2"/>
    </row>
    <row r="599" spans="2:4" ht="13.2">
      <c r="B599" s="1"/>
      <c r="D599" s="2"/>
    </row>
    <row r="600" spans="2:4" ht="13.2">
      <c r="B600" s="1"/>
      <c r="D600" s="2"/>
    </row>
    <row r="601" spans="2:4" ht="13.2">
      <c r="B601" s="1"/>
      <c r="D601" s="2"/>
    </row>
    <row r="602" spans="2:4" ht="13.2">
      <c r="B602" s="1"/>
      <c r="D602" s="2"/>
    </row>
    <row r="603" spans="2:4" ht="13.2">
      <c r="B603" s="1"/>
      <c r="D603" s="2"/>
    </row>
    <row r="604" spans="2:4" ht="13.2">
      <c r="B604" s="1"/>
      <c r="D604" s="2"/>
    </row>
    <row r="605" spans="2:4" ht="13.2">
      <c r="B605" s="1"/>
      <c r="D605" s="2"/>
    </row>
    <row r="606" spans="2:4" ht="13.2">
      <c r="B606" s="1"/>
      <c r="D606" s="2"/>
    </row>
    <row r="607" spans="2:4" ht="13.2">
      <c r="B607" s="1"/>
      <c r="D607" s="2"/>
    </row>
    <row r="608" spans="2:4" ht="13.2">
      <c r="B608" s="1"/>
      <c r="D608" s="2"/>
    </row>
    <row r="609" spans="2:4" ht="13.2">
      <c r="B609" s="1"/>
      <c r="D609" s="2"/>
    </row>
    <row r="610" spans="2:4" ht="13.2">
      <c r="B610" s="1"/>
      <c r="D610" s="2"/>
    </row>
    <row r="611" spans="2:4" ht="13.2">
      <c r="B611" s="1"/>
      <c r="D611" s="2"/>
    </row>
    <row r="612" spans="2:4" ht="13.2">
      <c r="B612" s="1"/>
      <c r="D612" s="2"/>
    </row>
    <row r="613" spans="2:4" ht="13.2">
      <c r="B613" s="1"/>
      <c r="D613" s="2"/>
    </row>
    <row r="614" spans="2:4" ht="13.2">
      <c r="B614" s="1"/>
      <c r="D614" s="2"/>
    </row>
    <row r="615" spans="2:4" ht="13.2">
      <c r="B615" s="1"/>
      <c r="D615" s="2"/>
    </row>
    <row r="616" spans="2:4" ht="13.2">
      <c r="B616" s="1"/>
      <c r="D616" s="2"/>
    </row>
    <row r="617" spans="2:4" ht="13.2">
      <c r="B617" s="1"/>
      <c r="D617" s="2"/>
    </row>
    <row r="618" spans="2:4" ht="13.2">
      <c r="B618" s="1"/>
      <c r="D618" s="2"/>
    </row>
    <row r="619" spans="2:4" ht="13.2">
      <c r="B619" s="1"/>
      <c r="D619" s="2"/>
    </row>
    <row r="620" spans="2:4" ht="13.2">
      <c r="B620" s="1"/>
      <c r="D620" s="2"/>
    </row>
    <row r="621" spans="2:4" ht="13.2">
      <c r="B621" s="1"/>
      <c r="D621" s="2"/>
    </row>
    <row r="622" spans="2:4" ht="13.2">
      <c r="B622" s="1"/>
      <c r="D622" s="2"/>
    </row>
    <row r="623" spans="2:4" ht="13.2">
      <c r="B623" s="1"/>
      <c r="D623" s="2"/>
    </row>
    <row r="624" spans="2:4" ht="13.2">
      <c r="B624" s="1"/>
      <c r="D624" s="2"/>
    </row>
    <row r="625" spans="2:4" ht="13.2">
      <c r="B625" s="1"/>
      <c r="D625" s="2"/>
    </row>
    <row r="626" spans="2:4" ht="13.2">
      <c r="B626" s="1"/>
      <c r="D626" s="2"/>
    </row>
    <row r="627" spans="2:4" ht="13.2">
      <c r="B627" s="1"/>
      <c r="D627" s="2"/>
    </row>
    <row r="628" spans="2:4" ht="13.2">
      <c r="B628" s="1"/>
      <c r="D628" s="2"/>
    </row>
    <row r="629" spans="2:4" ht="13.2">
      <c r="B629" s="1"/>
      <c r="D629" s="2"/>
    </row>
    <row r="630" spans="2:4" ht="13.2">
      <c r="B630" s="1"/>
      <c r="D630" s="2"/>
    </row>
    <row r="631" spans="2:4" ht="13.2">
      <c r="B631" s="1"/>
      <c r="D631" s="2"/>
    </row>
    <row r="632" spans="2:4" ht="13.2">
      <c r="B632" s="1"/>
      <c r="D632" s="2"/>
    </row>
    <row r="633" spans="2:4" ht="13.2">
      <c r="B633" s="1"/>
      <c r="D633" s="2"/>
    </row>
    <row r="634" spans="2:4" ht="13.2">
      <c r="B634" s="1"/>
      <c r="D634" s="2"/>
    </row>
    <row r="635" spans="2:4" ht="13.2">
      <c r="B635" s="1"/>
      <c r="D635" s="2"/>
    </row>
    <row r="636" spans="2:4" ht="13.2">
      <c r="B636" s="1"/>
      <c r="D636" s="2"/>
    </row>
    <row r="637" spans="2:4" ht="13.2">
      <c r="B637" s="1"/>
      <c r="D637" s="2"/>
    </row>
    <row r="638" spans="2:4" ht="13.2">
      <c r="B638" s="1"/>
      <c r="D638" s="2"/>
    </row>
    <row r="639" spans="2:4" ht="13.2">
      <c r="B639" s="1"/>
      <c r="D639" s="2"/>
    </row>
    <row r="640" spans="2:4" ht="13.2">
      <c r="B640" s="1"/>
      <c r="D640" s="2"/>
    </row>
    <row r="641" spans="2:4" ht="13.2">
      <c r="B641" s="1"/>
      <c r="D641" s="2"/>
    </row>
    <row r="642" spans="2:4" ht="13.2">
      <c r="B642" s="1"/>
      <c r="D642" s="2"/>
    </row>
    <row r="643" spans="2:4" ht="13.2">
      <c r="B643" s="1"/>
      <c r="D643" s="2"/>
    </row>
    <row r="644" spans="2:4" ht="13.2">
      <c r="B644" s="1"/>
      <c r="D644" s="2"/>
    </row>
    <row r="645" spans="2:4" ht="13.2">
      <c r="B645" s="1"/>
      <c r="D645" s="2"/>
    </row>
    <row r="646" spans="2:4" ht="13.2">
      <c r="B646" s="1"/>
      <c r="D646" s="2"/>
    </row>
    <row r="647" spans="2:4" ht="13.2">
      <c r="B647" s="1"/>
      <c r="D647" s="2"/>
    </row>
    <row r="648" spans="2:4" ht="13.2">
      <c r="B648" s="1"/>
      <c r="D648" s="2"/>
    </row>
    <row r="649" spans="2:4" ht="13.2">
      <c r="B649" s="1"/>
      <c r="D649" s="2"/>
    </row>
    <row r="650" spans="2:4" ht="13.2">
      <c r="B650" s="1"/>
      <c r="D650" s="2"/>
    </row>
    <row r="651" spans="2:4" ht="13.2">
      <c r="B651" s="1"/>
      <c r="D651" s="2"/>
    </row>
    <row r="652" spans="2:4" ht="13.2">
      <c r="B652" s="1"/>
      <c r="D652" s="2"/>
    </row>
    <row r="653" spans="2:4" ht="13.2">
      <c r="B653" s="1"/>
      <c r="D653" s="2"/>
    </row>
    <row r="654" spans="2:4" ht="13.2">
      <c r="B654" s="1"/>
      <c r="D654" s="2"/>
    </row>
    <row r="655" spans="2:4" ht="13.2">
      <c r="B655" s="1"/>
      <c r="D655" s="2"/>
    </row>
    <row r="656" spans="2:4" ht="13.2">
      <c r="B656" s="1"/>
      <c r="D656" s="2"/>
    </row>
    <row r="657" spans="2:4" ht="13.2">
      <c r="B657" s="1"/>
      <c r="D657" s="2"/>
    </row>
    <row r="658" spans="2:4" ht="13.2">
      <c r="B658" s="1"/>
      <c r="D658" s="2"/>
    </row>
    <row r="659" spans="2:4" ht="13.2">
      <c r="B659" s="1"/>
      <c r="D659" s="2"/>
    </row>
    <row r="660" spans="2:4" ht="13.2">
      <c r="B660" s="1"/>
      <c r="D660" s="2"/>
    </row>
    <row r="661" spans="2:4" ht="13.2">
      <c r="B661" s="1"/>
      <c r="D661" s="2"/>
    </row>
    <row r="662" spans="2:4" ht="13.2">
      <c r="B662" s="1"/>
      <c r="D662" s="2"/>
    </row>
    <row r="663" spans="2:4" ht="13.2">
      <c r="B663" s="1"/>
      <c r="D663" s="2"/>
    </row>
    <row r="664" spans="2:4" ht="13.2">
      <c r="B664" s="1"/>
      <c r="D664" s="2"/>
    </row>
    <row r="665" spans="2:4" ht="13.2">
      <c r="B665" s="1"/>
      <c r="D665" s="2"/>
    </row>
    <row r="666" spans="2:4" ht="13.2">
      <c r="B666" s="1"/>
      <c r="D666" s="2"/>
    </row>
    <row r="667" spans="2:4" ht="13.2">
      <c r="B667" s="1"/>
      <c r="D667" s="2"/>
    </row>
    <row r="668" spans="2:4" ht="13.2">
      <c r="B668" s="1"/>
      <c r="D668" s="2"/>
    </row>
    <row r="669" spans="2:4" ht="13.2">
      <c r="B669" s="1"/>
      <c r="D669" s="2"/>
    </row>
    <row r="670" spans="2:4" ht="13.2">
      <c r="B670" s="1"/>
      <c r="D670" s="2"/>
    </row>
    <row r="671" spans="2:4" ht="13.2">
      <c r="B671" s="1"/>
      <c r="D671" s="2"/>
    </row>
    <row r="672" spans="2:4" ht="13.2">
      <c r="B672" s="1"/>
      <c r="D672" s="2"/>
    </row>
    <row r="673" spans="2:4" ht="13.2">
      <c r="B673" s="1"/>
      <c r="D673" s="2"/>
    </row>
    <row r="674" spans="2:4" ht="13.2">
      <c r="B674" s="1"/>
      <c r="D674" s="2"/>
    </row>
    <row r="675" spans="2:4" ht="13.2">
      <c r="B675" s="1"/>
      <c r="D675" s="2"/>
    </row>
    <row r="676" spans="2:4" ht="13.2">
      <c r="B676" s="1"/>
      <c r="D676" s="2"/>
    </row>
    <row r="677" spans="2:4" ht="13.2">
      <c r="B677" s="1"/>
      <c r="D677" s="2"/>
    </row>
    <row r="678" spans="2:4" ht="13.2">
      <c r="B678" s="1"/>
      <c r="D678" s="2"/>
    </row>
    <row r="679" spans="2:4" ht="13.2">
      <c r="B679" s="1"/>
      <c r="D679" s="2"/>
    </row>
    <row r="680" spans="2:4" ht="13.2">
      <c r="B680" s="1"/>
      <c r="D680" s="2"/>
    </row>
    <row r="681" spans="2:4" ht="13.2">
      <c r="B681" s="1"/>
      <c r="D681" s="2"/>
    </row>
    <row r="682" spans="2:4" ht="13.2">
      <c r="B682" s="1"/>
      <c r="D682" s="2"/>
    </row>
    <row r="683" spans="2:4" ht="13.2">
      <c r="B683" s="1"/>
      <c r="D683" s="2"/>
    </row>
    <row r="684" spans="2:4" ht="13.2">
      <c r="B684" s="1"/>
      <c r="D684" s="2"/>
    </row>
    <row r="685" spans="2:4" ht="13.2">
      <c r="B685" s="1"/>
      <c r="D685" s="2"/>
    </row>
    <row r="686" spans="2:4" ht="13.2">
      <c r="B686" s="1"/>
      <c r="D686" s="2"/>
    </row>
    <row r="687" spans="2:4" ht="13.2">
      <c r="B687" s="1"/>
      <c r="D687" s="2"/>
    </row>
    <row r="688" spans="2:4" ht="13.2">
      <c r="B688" s="1"/>
      <c r="D688" s="2"/>
    </row>
    <row r="689" spans="2:4" ht="13.2">
      <c r="B689" s="1"/>
      <c r="D689" s="2"/>
    </row>
    <row r="690" spans="2:4" ht="13.2">
      <c r="B690" s="1"/>
      <c r="D690" s="2"/>
    </row>
    <row r="691" spans="2:4" ht="13.2">
      <c r="B691" s="1"/>
      <c r="D691" s="2"/>
    </row>
    <row r="692" spans="2:4" ht="13.2">
      <c r="B692" s="1"/>
      <c r="D692" s="2"/>
    </row>
    <row r="693" spans="2:4" ht="13.2">
      <c r="B693" s="1"/>
      <c r="D693" s="2"/>
    </row>
    <row r="694" spans="2:4" ht="13.2">
      <c r="B694" s="1"/>
      <c r="D694" s="2"/>
    </row>
    <row r="695" spans="2:4" ht="13.2">
      <c r="B695" s="1"/>
      <c r="D695" s="2"/>
    </row>
    <row r="696" spans="2:4" ht="13.2">
      <c r="B696" s="1"/>
      <c r="D696" s="2"/>
    </row>
    <row r="697" spans="2:4" ht="13.2">
      <c r="B697" s="1"/>
      <c r="D697" s="2"/>
    </row>
    <row r="698" spans="2:4" ht="13.2">
      <c r="B698" s="1"/>
      <c r="D698" s="2"/>
    </row>
    <row r="699" spans="2:4" ht="13.2">
      <c r="B699" s="1"/>
      <c r="D699" s="2"/>
    </row>
    <row r="700" spans="2:4" ht="13.2">
      <c r="B700" s="1"/>
      <c r="D700" s="2"/>
    </row>
    <row r="701" spans="2:4" ht="13.2">
      <c r="B701" s="1"/>
      <c r="D701" s="2"/>
    </row>
    <row r="702" spans="2:4" ht="13.2">
      <c r="B702" s="1"/>
      <c r="D702" s="2"/>
    </row>
    <row r="703" spans="2:4" ht="13.2">
      <c r="B703" s="1"/>
      <c r="D703" s="2"/>
    </row>
    <row r="704" spans="2:4" ht="13.2">
      <c r="B704" s="1"/>
      <c r="D704" s="2"/>
    </row>
    <row r="705" spans="2:4" ht="13.2">
      <c r="B705" s="1"/>
      <c r="D705" s="2"/>
    </row>
    <row r="706" spans="2:4" ht="13.2">
      <c r="B706" s="1"/>
      <c r="D706" s="2"/>
    </row>
    <row r="707" spans="2:4" ht="13.2">
      <c r="B707" s="1"/>
      <c r="D707" s="2"/>
    </row>
    <row r="708" spans="2:4" ht="13.2">
      <c r="B708" s="1"/>
      <c r="D708" s="2"/>
    </row>
    <row r="709" spans="2:4" ht="13.2">
      <c r="B709" s="1"/>
      <c r="D709" s="2"/>
    </row>
    <row r="710" spans="2:4" ht="13.2">
      <c r="B710" s="1"/>
      <c r="D710" s="2"/>
    </row>
    <row r="711" spans="2:4" ht="13.2">
      <c r="B711" s="1"/>
      <c r="D711" s="2"/>
    </row>
    <row r="712" spans="2:4" ht="13.2">
      <c r="B712" s="1"/>
      <c r="D712" s="2"/>
    </row>
    <row r="713" spans="2:4" ht="13.2">
      <c r="B713" s="1"/>
      <c r="D713" s="2"/>
    </row>
    <row r="714" spans="2:4" ht="13.2">
      <c r="B714" s="1"/>
      <c r="D714" s="2"/>
    </row>
    <row r="715" spans="2:4" ht="13.2">
      <c r="B715" s="1"/>
      <c r="D715" s="2"/>
    </row>
    <row r="716" spans="2:4" ht="13.2">
      <c r="B716" s="1"/>
      <c r="D716" s="2"/>
    </row>
    <row r="717" spans="2:4" ht="13.2">
      <c r="B717" s="1"/>
      <c r="D717" s="2"/>
    </row>
    <row r="718" spans="2:4" ht="13.2">
      <c r="B718" s="1"/>
      <c r="D718" s="2"/>
    </row>
    <row r="719" spans="2:4" ht="13.2">
      <c r="B719" s="1"/>
      <c r="D719" s="2"/>
    </row>
    <row r="720" spans="2:4" ht="13.2">
      <c r="B720" s="1"/>
      <c r="D720" s="2"/>
    </row>
    <row r="721" spans="2:4" ht="13.2">
      <c r="B721" s="1"/>
      <c r="D721" s="2"/>
    </row>
    <row r="722" spans="2:4" ht="13.2">
      <c r="B722" s="1"/>
      <c r="D722" s="2"/>
    </row>
    <row r="723" spans="2:4" ht="13.2">
      <c r="B723" s="1"/>
      <c r="D723" s="2"/>
    </row>
    <row r="724" spans="2:4" ht="13.2">
      <c r="B724" s="1"/>
      <c r="D724" s="2"/>
    </row>
    <row r="725" spans="2:4" ht="13.2">
      <c r="B725" s="1"/>
      <c r="D725" s="2"/>
    </row>
    <row r="726" spans="2:4" ht="13.2">
      <c r="B726" s="1"/>
      <c r="D726" s="2"/>
    </row>
    <row r="727" spans="2:4" ht="13.2">
      <c r="B727" s="1"/>
      <c r="D727" s="2"/>
    </row>
    <row r="728" spans="2:4" ht="13.2">
      <c r="B728" s="1"/>
      <c r="D728" s="2"/>
    </row>
    <row r="729" spans="2:4" ht="13.2">
      <c r="B729" s="1"/>
      <c r="D729" s="2"/>
    </row>
    <row r="730" spans="2:4" ht="13.2">
      <c r="B730" s="1"/>
      <c r="D730" s="2"/>
    </row>
    <row r="731" spans="2:4" ht="13.2">
      <c r="B731" s="1"/>
      <c r="D731" s="2"/>
    </row>
    <row r="732" spans="2:4" ht="13.2">
      <c r="B732" s="1"/>
      <c r="D732" s="2"/>
    </row>
    <row r="733" spans="2:4" ht="13.2">
      <c r="B733" s="1"/>
      <c r="D733" s="2"/>
    </row>
    <row r="734" spans="2:4" ht="13.2">
      <c r="B734" s="1"/>
      <c r="D734" s="2"/>
    </row>
    <row r="735" spans="2:4" ht="13.2">
      <c r="B735" s="1"/>
      <c r="D735" s="2"/>
    </row>
    <row r="736" spans="2:4" ht="13.2">
      <c r="B736" s="1"/>
      <c r="D736" s="2"/>
    </row>
    <row r="737" spans="2:4" ht="13.2">
      <c r="B737" s="1"/>
      <c r="D737" s="2"/>
    </row>
    <row r="738" spans="2:4" ht="13.2">
      <c r="B738" s="1"/>
      <c r="D738" s="2"/>
    </row>
    <row r="739" spans="2:4" ht="13.2">
      <c r="B739" s="1"/>
      <c r="D739" s="2"/>
    </row>
    <row r="740" spans="2:4" ht="13.2">
      <c r="B740" s="1"/>
      <c r="D740" s="2"/>
    </row>
    <row r="741" spans="2:4" ht="13.2">
      <c r="B741" s="1"/>
      <c r="D741" s="2"/>
    </row>
    <row r="742" spans="2:4" ht="13.2">
      <c r="B742" s="1"/>
      <c r="D742" s="2"/>
    </row>
    <row r="743" spans="2:4" ht="13.2">
      <c r="B743" s="1"/>
      <c r="D743" s="2"/>
    </row>
    <row r="744" spans="2:4" ht="13.2">
      <c r="B744" s="1"/>
      <c r="D744" s="2"/>
    </row>
    <row r="745" spans="2:4" ht="13.2">
      <c r="B745" s="1"/>
      <c r="D745" s="2"/>
    </row>
    <row r="746" spans="2:4" ht="13.2">
      <c r="B746" s="1"/>
      <c r="D746" s="2"/>
    </row>
    <row r="747" spans="2:4" ht="13.2">
      <c r="B747" s="1"/>
      <c r="D747" s="2"/>
    </row>
    <row r="748" spans="2:4" ht="13.2">
      <c r="B748" s="1"/>
      <c r="D748" s="2"/>
    </row>
    <row r="749" spans="2:4" ht="13.2">
      <c r="B749" s="1"/>
      <c r="D749" s="2"/>
    </row>
    <row r="750" spans="2:4" ht="13.2">
      <c r="B750" s="1"/>
      <c r="D750" s="2"/>
    </row>
    <row r="751" spans="2:4" ht="13.2">
      <c r="B751" s="1"/>
      <c r="D751" s="2"/>
    </row>
    <row r="752" spans="2:4" ht="13.2">
      <c r="B752" s="1"/>
      <c r="D752" s="2"/>
    </row>
    <row r="753" spans="2:4" ht="13.2">
      <c r="B753" s="1"/>
      <c r="D753" s="2"/>
    </row>
    <row r="754" spans="2:4" ht="13.2">
      <c r="B754" s="1"/>
      <c r="D754" s="2"/>
    </row>
    <row r="755" spans="2:4" ht="13.2">
      <c r="B755" s="1"/>
      <c r="D755" s="2"/>
    </row>
    <row r="756" spans="2:4" ht="13.2">
      <c r="B756" s="1"/>
      <c r="D756" s="2"/>
    </row>
    <row r="757" spans="2:4" ht="13.2">
      <c r="B757" s="1"/>
      <c r="D757" s="2"/>
    </row>
    <row r="758" spans="2:4" ht="13.2">
      <c r="B758" s="1"/>
      <c r="D758" s="2"/>
    </row>
    <row r="759" spans="2:4" ht="13.2">
      <c r="B759" s="1"/>
      <c r="D759" s="2"/>
    </row>
    <row r="760" spans="2:4" ht="13.2">
      <c r="B760" s="1"/>
      <c r="D760" s="2"/>
    </row>
    <row r="761" spans="2:4" ht="13.2">
      <c r="B761" s="1"/>
      <c r="D761" s="2"/>
    </row>
    <row r="762" spans="2:4" ht="13.2">
      <c r="B762" s="1"/>
      <c r="D762" s="2"/>
    </row>
    <row r="763" spans="2:4" ht="13.2">
      <c r="B763" s="1"/>
      <c r="D763" s="2"/>
    </row>
    <row r="764" spans="2:4" ht="13.2">
      <c r="B764" s="1"/>
      <c r="D764" s="2"/>
    </row>
    <row r="765" spans="2:4" ht="13.2">
      <c r="B765" s="1"/>
      <c r="D765" s="2"/>
    </row>
    <row r="766" spans="2:4" ht="13.2">
      <c r="B766" s="1"/>
      <c r="D766" s="2"/>
    </row>
    <row r="767" spans="2:4" ht="13.2">
      <c r="B767" s="1"/>
      <c r="D767" s="2"/>
    </row>
    <row r="768" spans="2:4" ht="13.2">
      <c r="B768" s="1"/>
      <c r="D768" s="2"/>
    </row>
    <row r="769" spans="2:4" ht="13.2">
      <c r="B769" s="1"/>
      <c r="D769" s="2"/>
    </row>
    <row r="770" spans="2:4" ht="13.2">
      <c r="B770" s="1"/>
      <c r="D770" s="2"/>
    </row>
    <row r="771" spans="2:4" ht="13.2">
      <c r="B771" s="1"/>
      <c r="D771" s="2"/>
    </row>
    <row r="772" spans="2:4" ht="13.2">
      <c r="B772" s="1"/>
      <c r="D772" s="2"/>
    </row>
    <row r="773" spans="2:4" ht="13.2">
      <c r="B773" s="1"/>
      <c r="D773" s="2"/>
    </row>
    <row r="774" spans="2:4" ht="13.2">
      <c r="B774" s="1"/>
      <c r="D774" s="2"/>
    </row>
    <row r="775" spans="2:4" ht="13.2">
      <c r="B775" s="1"/>
      <c r="D775" s="2"/>
    </row>
    <row r="776" spans="2:4" ht="13.2">
      <c r="B776" s="1"/>
      <c r="D776" s="2"/>
    </row>
    <row r="777" spans="2:4" ht="13.2">
      <c r="B777" s="1"/>
      <c r="D777" s="2"/>
    </row>
    <row r="778" spans="2:4" ht="13.2">
      <c r="B778" s="1"/>
      <c r="D778" s="2"/>
    </row>
    <row r="779" spans="2:4" ht="13.2">
      <c r="B779" s="1"/>
      <c r="D779" s="2"/>
    </row>
    <row r="780" spans="2:4" ht="13.2">
      <c r="B780" s="1"/>
      <c r="D780" s="2"/>
    </row>
    <row r="781" spans="2:4" ht="13.2">
      <c r="B781" s="1"/>
      <c r="D781" s="2"/>
    </row>
    <row r="782" spans="2:4" ht="13.2">
      <c r="B782" s="1"/>
      <c r="D782" s="2"/>
    </row>
    <row r="783" spans="2:4" ht="13.2">
      <c r="B783" s="1"/>
      <c r="D783" s="2"/>
    </row>
    <row r="784" spans="2:4" ht="13.2">
      <c r="B784" s="1"/>
      <c r="D784" s="2"/>
    </row>
    <row r="785" spans="2:4" ht="13.2">
      <c r="B785" s="1"/>
      <c r="D785" s="2"/>
    </row>
    <row r="786" spans="2:4" ht="13.2">
      <c r="B786" s="1"/>
      <c r="D786" s="2"/>
    </row>
    <row r="787" spans="2:4" ht="13.2">
      <c r="B787" s="1"/>
      <c r="D787" s="2"/>
    </row>
    <row r="788" spans="2:4" ht="13.2">
      <c r="B788" s="1"/>
      <c r="D788" s="2"/>
    </row>
    <row r="789" spans="2:4" ht="13.2">
      <c r="B789" s="1"/>
      <c r="D789" s="2"/>
    </row>
    <row r="790" spans="2:4" ht="13.2">
      <c r="B790" s="1"/>
      <c r="D790" s="2"/>
    </row>
    <row r="791" spans="2:4" ht="13.2">
      <c r="B791" s="1"/>
      <c r="D791" s="2"/>
    </row>
    <row r="792" spans="2:4" ht="13.2">
      <c r="B792" s="1"/>
      <c r="D792" s="2"/>
    </row>
    <row r="793" spans="2:4" ht="13.2">
      <c r="B793" s="1"/>
      <c r="D793" s="2"/>
    </row>
    <row r="794" spans="2:4" ht="13.2">
      <c r="B794" s="1"/>
      <c r="D794" s="2"/>
    </row>
    <row r="795" spans="2:4" ht="13.2">
      <c r="B795" s="1"/>
      <c r="D795" s="2"/>
    </row>
    <row r="796" spans="2:4" ht="13.2">
      <c r="B796" s="1"/>
      <c r="D796" s="2"/>
    </row>
    <row r="797" spans="2:4" ht="13.2">
      <c r="B797" s="1"/>
      <c r="D797" s="2"/>
    </row>
    <row r="798" spans="2:4" ht="13.2">
      <c r="B798" s="1"/>
      <c r="D798" s="2"/>
    </row>
    <row r="799" spans="2:4" ht="13.2">
      <c r="B799" s="1"/>
      <c r="D799" s="2"/>
    </row>
    <row r="800" spans="2:4" ht="13.2">
      <c r="B800" s="1"/>
      <c r="D800" s="2"/>
    </row>
    <row r="801" spans="2:4" ht="13.2">
      <c r="B801" s="1"/>
      <c r="D801" s="2"/>
    </row>
    <row r="802" spans="2:4" ht="13.2">
      <c r="B802" s="1"/>
      <c r="D802" s="2"/>
    </row>
    <row r="803" spans="2:4" ht="13.2">
      <c r="B803" s="1"/>
      <c r="D803" s="2"/>
    </row>
    <row r="804" spans="2:4" ht="13.2">
      <c r="B804" s="1"/>
      <c r="D804" s="2"/>
    </row>
    <row r="805" spans="2:4" ht="13.2">
      <c r="B805" s="1"/>
      <c r="D805" s="2"/>
    </row>
    <row r="806" spans="2:4" ht="13.2">
      <c r="B806" s="1"/>
      <c r="D806" s="2"/>
    </row>
    <row r="807" spans="2:4" ht="13.2">
      <c r="B807" s="1"/>
      <c r="D807" s="2"/>
    </row>
    <row r="808" spans="2:4" ht="13.2">
      <c r="B808" s="1"/>
      <c r="D808" s="2"/>
    </row>
    <row r="809" spans="2:4" ht="13.2">
      <c r="B809" s="1"/>
      <c r="D809" s="2"/>
    </row>
    <row r="810" spans="2:4" ht="13.2">
      <c r="B810" s="1"/>
      <c r="D810" s="2"/>
    </row>
    <row r="811" spans="2:4" ht="13.2">
      <c r="B811" s="1"/>
      <c r="D811" s="2"/>
    </row>
    <row r="812" spans="2:4" ht="13.2">
      <c r="B812" s="1"/>
      <c r="D812" s="2"/>
    </row>
    <row r="813" spans="2:4" ht="13.2">
      <c r="B813" s="1"/>
      <c r="D813" s="2"/>
    </row>
    <row r="814" spans="2:4" ht="13.2">
      <c r="B814" s="1"/>
      <c r="D814" s="2"/>
    </row>
    <row r="815" spans="2:4" ht="13.2">
      <c r="B815" s="1"/>
      <c r="D815" s="2"/>
    </row>
    <row r="816" spans="2:4" ht="13.2">
      <c r="B816" s="1"/>
      <c r="D816" s="2"/>
    </row>
    <row r="817" spans="2:4" ht="13.2">
      <c r="B817" s="1"/>
      <c r="D817" s="2"/>
    </row>
    <row r="818" spans="2:4" ht="13.2">
      <c r="B818" s="1"/>
      <c r="D818" s="2"/>
    </row>
    <row r="819" spans="2:4" ht="13.2">
      <c r="B819" s="1"/>
      <c r="D819" s="2"/>
    </row>
    <row r="820" spans="2:4" ht="13.2">
      <c r="B820" s="1"/>
      <c r="D820" s="2"/>
    </row>
    <row r="821" spans="2:4" ht="13.2">
      <c r="B821" s="1"/>
      <c r="D821" s="2"/>
    </row>
    <row r="822" spans="2:4" ht="13.2">
      <c r="B822" s="1"/>
      <c r="D822" s="2"/>
    </row>
    <row r="823" spans="2:4" ht="13.2">
      <c r="B823" s="1"/>
      <c r="D823" s="2"/>
    </row>
    <row r="824" spans="2:4" ht="13.2">
      <c r="B824" s="1"/>
      <c r="D824" s="2"/>
    </row>
    <row r="825" spans="2:4" ht="13.2">
      <c r="B825" s="1"/>
      <c r="D825" s="2"/>
    </row>
    <row r="826" spans="2:4" ht="13.2">
      <c r="B826" s="1"/>
      <c r="D826" s="2"/>
    </row>
    <row r="827" spans="2:4" ht="13.2">
      <c r="B827" s="1"/>
      <c r="D827" s="2"/>
    </row>
    <row r="828" spans="2:4" ht="13.2">
      <c r="B828" s="1"/>
      <c r="D828" s="2"/>
    </row>
    <row r="829" spans="2:4" ht="13.2">
      <c r="B829" s="1"/>
      <c r="D829" s="2"/>
    </row>
    <row r="830" spans="2:4" ht="13.2">
      <c r="B830" s="1"/>
      <c r="D830" s="2"/>
    </row>
    <row r="831" spans="2:4" ht="13.2">
      <c r="B831" s="1"/>
      <c r="D831" s="2"/>
    </row>
    <row r="832" spans="2:4" ht="13.2">
      <c r="B832" s="1"/>
      <c r="D832" s="2"/>
    </row>
    <row r="833" spans="2:4" ht="13.2">
      <c r="B833" s="1"/>
      <c r="D833" s="2"/>
    </row>
    <row r="834" spans="2:4" ht="13.2">
      <c r="B834" s="1"/>
      <c r="D834" s="2"/>
    </row>
    <row r="835" spans="2:4" ht="13.2">
      <c r="B835" s="1"/>
      <c r="D835" s="2"/>
    </row>
    <row r="836" spans="2:4" ht="13.2">
      <c r="B836" s="1"/>
      <c r="D836" s="2"/>
    </row>
    <row r="837" spans="2:4" ht="13.2">
      <c r="B837" s="1"/>
      <c r="D837" s="2"/>
    </row>
    <row r="838" spans="2:4" ht="13.2">
      <c r="B838" s="1"/>
      <c r="D838" s="2"/>
    </row>
    <row r="839" spans="2:4" ht="13.2">
      <c r="B839" s="1"/>
      <c r="D839" s="2"/>
    </row>
    <row r="840" spans="2:4" ht="13.2">
      <c r="B840" s="1"/>
      <c r="D840" s="2"/>
    </row>
    <row r="841" spans="2:4" ht="13.2">
      <c r="B841" s="1"/>
      <c r="D841" s="2"/>
    </row>
    <row r="842" spans="2:4" ht="13.2">
      <c r="B842" s="1"/>
      <c r="D842" s="2"/>
    </row>
    <row r="843" spans="2:4" ht="13.2">
      <c r="B843" s="1"/>
      <c r="D843" s="2"/>
    </row>
    <row r="844" spans="2:4" ht="13.2">
      <c r="B844" s="1"/>
      <c r="D844" s="2"/>
    </row>
    <row r="845" spans="2:4" ht="13.2">
      <c r="B845" s="1"/>
      <c r="D845" s="2"/>
    </row>
    <row r="846" spans="2:4" ht="13.2">
      <c r="B846" s="1"/>
      <c r="D846" s="2"/>
    </row>
    <row r="847" spans="2:4" ht="13.2">
      <c r="B847" s="1"/>
      <c r="D847" s="2"/>
    </row>
    <row r="848" spans="2:4" ht="13.2">
      <c r="B848" s="1"/>
      <c r="D848" s="2"/>
    </row>
    <row r="849" spans="2:4" ht="13.2">
      <c r="B849" s="1"/>
      <c r="D849" s="2"/>
    </row>
    <row r="850" spans="2:4" ht="13.2">
      <c r="B850" s="1"/>
      <c r="D850" s="2"/>
    </row>
    <row r="851" spans="2:4" ht="13.2">
      <c r="B851" s="1"/>
      <c r="D851" s="2"/>
    </row>
    <row r="852" spans="2:4" ht="13.2">
      <c r="B852" s="1"/>
      <c r="D852" s="2"/>
    </row>
    <row r="853" spans="2:4" ht="13.2">
      <c r="B853" s="1"/>
      <c r="D853" s="2"/>
    </row>
    <row r="854" spans="2:4" ht="13.2">
      <c r="B854" s="1"/>
      <c r="D854" s="2"/>
    </row>
    <row r="855" spans="2:4" ht="13.2">
      <c r="B855" s="1"/>
      <c r="D855" s="2"/>
    </row>
    <row r="856" spans="2:4" ht="13.2">
      <c r="B856" s="1"/>
      <c r="D856" s="2"/>
    </row>
    <row r="857" spans="2:4" ht="13.2">
      <c r="B857" s="1"/>
      <c r="D857" s="2"/>
    </row>
    <row r="858" spans="2:4" ht="13.2">
      <c r="B858" s="1"/>
      <c r="D858" s="2"/>
    </row>
    <row r="859" spans="2:4" ht="13.2">
      <c r="B859" s="1"/>
      <c r="D859" s="2"/>
    </row>
    <row r="860" spans="2:4" ht="13.2">
      <c r="B860" s="1"/>
      <c r="D860" s="2"/>
    </row>
    <row r="861" spans="2:4" ht="13.2">
      <c r="B861" s="1"/>
      <c r="D861" s="2"/>
    </row>
    <row r="862" spans="2:4" ht="13.2">
      <c r="B862" s="1"/>
      <c r="D862" s="2"/>
    </row>
    <row r="863" spans="2:4" ht="13.2">
      <c r="B863" s="1"/>
      <c r="D863" s="2"/>
    </row>
    <row r="864" spans="2:4" ht="13.2">
      <c r="B864" s="1"/>
      <c r="D864" s="2"/>
    </row>
    <row r="865" spans="2:4" ht="13.2">
      <c r="B865" s="1"/>
      <c r="D865" s="2"/>
    </row>
    <row r="866" spans="2:4" ht="13.2">
      <c r="B866" s="1"/>
      <c r="D866" s="2"/>
    </row>
    <row r="867" spans="2:4" ht="13.2">
      <c r="B867" s="1"/>
      <c r="D867" s="2"/>
    </row>
    <row r="868" spans="2:4" ht="13.2">
      <c r="B868" s="1"/>
      <c r="D868" s="2"/>
    </row>
    <row r="869" spans="2:4" ht="13.2">
      <c r="B869" s="1"/>
      <c r="D869" s="2"/>
    </row>
    <row r="870" spans="2:4" ht="13.2">
      <c r="B870" s="1"/>
      <c r="D870" s="2"/>
    </row>
    <row r="871" spans="2:4" ht="13.2">
      <c r="B871" s="1"/>
      <c r="D871" s="2"/>
    </row>
    <row r="872" spans="2:4" ht="13.2">
      <c r="B872" s="1"/>
      <c r="D872" s="2"/>
    </row>
    <row r="873" spans="2:4" ht="13.2">
      <c r="B873" s="1"/>
      <c r="D873" s="2"/>
    </row>
    <row r="874" spans="2:4" ht="13.2">
      <c r="B874" s="1"/>
      <c r="D874" s="2"/>
    </row>
    <row r="875" spans="2:4" ht="13.2">
      <c r="B875" s="1"/>
      <c r="D875" s="2"/>
    </row>
    <row r="876" spans="2:4" ht="13.2">
      <c r="B876" s="1"/>
      <c r="D876" s="2"/>
    </row>
    <row r="877" spans="2:4" ht="13.2">
      <c r="B877" s="1"/>
      <c r="D877" s="2"/>
    </row>
    <row r="878" spans="2:4" ht="13.2">
      <c r="B878" s="1"/>
      <c r="D878" s="2"/>
    </row>
    <row r="879" spans="2:4" ht="13.2">
      <c r="B879" s="1"/>
      <c r="D879" s="2"/>
    </row>
    <row r="880" spans="2:4" ht="13.2">
      <c r="B880" s="1"/>
      <c r="D880" s="2"/>
    </row>
    <row r="881" spans="2:4" ht="13.2">
      <c r="B881" s="1"/>
      <c r="D881" s="2"/>
    </row>
    <row r="882" spans="2:4" ht="13.2">
      <c r="B882" s="1"/>
      <c r="D882" s="2"/>
    </row>
    <row r="883" spans="2:4" ht="13.2">
      <c r="B883" s="1"/>
      <c r="D883" s="2"/>
    </row>
    <row r="884" spans="2:4" ht="13.2">
      <c r="B884" s="1"/>
      <c r="D884" s="2"/>
    </row>
    <row r="885" spans="2:4" ht="13.2">
      <c r="B885" s="1"/>
      <c r="D885" s="2"/>
    </row>
    <row r="886" spans="2:4" ht="13.2">
      <c r="B886" s="1"/>
      <c r="D886" s="2"/>
    </row>
    <row r="887" spans="2:4" ht="13.2">
      <c r="B887" s="1"/>
      <c r="D887" s="2"/>
    </row>
    <row r="888" spans="2:4" ht="13.2">
      <c r="B888" s="1"/>
      <c r="D888" s="2"/>
    </row>
    <row r="889" spans="2:4" ht="13.2">
      <c r="B889" s="1"/>
      <c r="D889" s="2"/>
    </row>
    <row r="890" spans="2:4" ht="13.2">
      <c r="B890" s="1"/>
      <c r="D890" s="2"/>
    </row>
    <row r="891" spans="2:4" ht="13.2">
      <c r="B891" s="1"/>
      <c r="D891" s="2"/>
    </row>
    <row r="892" spans="2:4" ht="13.2">
      <c r="B892" s="1"/>
      <c r="D892" s="2"/>
    </row>
    <row r="893" spans="2:4" ht="13.2">
      <c r="B893" s="1"/>
      <c r="D893" s="2"/>
    </row>
    <row r="894" spans="2:4" ht="13.2">
      <c r="B894" s="1"/>
      <c r="D894" s="2"/>
    </row>
    <row r="895" spans="2:4" ht="13.2">
      <c r="B895" s="1"/>
      <c r="D895" s="2"/>
    </row>
    <row r="896" spans="2:4" ht="13.2">
      <c r="B896" s="1"/>
      <c r="D896" s="2"/>
    </row>
    <row r="897" spans="2:4" ht="13.2">
      <c r="B897" s="1"/>
      <c r="D897" s="2"/>
    </row>
    <row r="898" spans="2:4" ht="13.2">
      <c r="B898" s="1"/>
      <c r="D898" s="2"/>
    </row>
    <row r="899" spans="2:4" ht="13.2">
      <c r="B899" s="1"/>
      <c r="D899" s="2"/>
    </row>
    <row r="900" spans="2:4" ht="13.2">
      <c r="B900" s="1"/>
      <c r="D900" s="2"/>
    </row>
    <row r="901" spans="2:4" ht="13.2">
      <c r="B901" s="1"/>
      <c r="D901" s="2"/>
    </row>
    <row r="902" spans="2:4" ht="13.2">
      <c r="B902" s="1"/>
      <c r="D902" s="2"/>
    </row>
    <row r="903" spans="2:4" ht="13.2">
      <c r="B903" s="1"/>
      <c r="D903" s="2"/>
    </row>
    <row r="904" spans="2:4" ht="13.2">
      <c r="B904" s="1"/>
      <c r="D904" s="2"/>
    </row>
    <row r="905" spans="2:4" ht="13.2">
      <c r="B905" s="1"/>
      <c r="D905" s="2"/>
    </row>
    <row r="906" spans="2:4" ht="13.2">
      <c r="B906" s="1"/>
      <c r="D906" s="2"/>
    </row>
    <row r="907" spans="2:4" ht="13.2">
      <c r="B907" s="1"/>
      <c r="D907" s="2"/>
    </row>
    <row r="908" spans="2:4" ht="13.2">
      <c r="B908" s="1"/>
      <c r="D908" s="2"/>
    </row>
    <row r="909" spans="2:4" ht="13.2">
      <c r="B909" s="1"/>
      <c r="D909" s="2"/>
    </row>
    <row r="910" spans="2:4" ht="13.2">
      <c r="B910" s="1"/>
      <c r="D910" s="2"/>
    </row>
    <row r="911" spans="2:4" ht="13.2">
      <c r="B911" s="1"/>
      <c r="D911" s="2"/>
    </row>
    <row r="912" spans="2:4" ht="13.2">
      <c r="B912" s="1"/>
      <c r="D912" s="2"/>
    </row>
    <row r="913" spans="2:4" ht="13.2">
      <c r="B913" s="1"/>
      <c r="D913" s="2"/>
    </row>
    <row r="914" spans="2:4" ht="13.2">
      <c r="B914" s="1"/>
      <c r="D914" s="2"/>
    </row>
    <row r="915" spans="2:4" ht="13.2">
      <c r="B915" s="1"/>
      <c r="D915" s="2"/>
    </row>
    <row r="916" spans="2:4" ht="13.2">
      <c r="B916" s="1"/>
      <c r="D916" s="2"/>
    </row>
    <row r="917" spans="2:4" ht="13.2">
      <c r="B917" s="1"/>
      <c r="D917" s="2"/>
    </row>
    <row r="918" spans="2:4" ht="13.2">
      <c r="B918" s="1"/>
      <c r="D918" s="2"/>
    </row>
    <row r="919" spans="2:4" ht="13.2">
      <c r="B919" s="1"/>
      <c r="D919" s="2"/>
    </row>
    <row r="920" spans="2:4" ht="13.2">
      <c r="B920" s="1"/>
      <c r="D920" s="2"/>
    </row>
    <row r="921" spans="2:4" ht="13.2">
      <c r="B921" s="1"/>
      <c r="D921" s="2"/>
    </row>
    <row r="922" spans="2:4" ht="13.2">
      <c r="B922" s="1"/>
      <c r="D922" s="2"/>
    </row>
    <row r="923" spans="2:4" ht="13.2">
      <c r="B923" s="1"/>
      <c r="D923" s="2"/>
    </row>
    <row r="924" spans="2:4" ht="13.2">
      <c r="B924" s="1"/>
      <c r="D924" s="2"/>
    </row>
    <row r="925" spans="2:4" ht="13.2">
      <c r="B925" s="1"/>
      <c r="D925" s="2"/>
    </row>
    <row r="926" spans="2:4" ht="13.2">
      <c r="B926" s="1"/>
      <c r="D926" s="2"/>
    </row>
    <row r="927" spans="2:4" ht="13.2">
      <c r="B927" s="1"/>
      <c r="D927" s="2"/>
    </row>
    <row r="928" spans="2:4" ht="13.2">
      <c r="B928" s="1"/>
      <c r="D928" s="2"/>
    </row>
    <row r="929" spans="2:4" ht="13.2">
      <c r="B929" s="1"/>
      <c r="D929" s="2"/>
    </row>
    <row r="930" spans="2:4" ht="13.2">
      <c r="B930" s="1"/>
      <c r="D930" s="2"/>
    </row>
    <row r="931" spans="2:4" ht="13.2">
      <c r="B931" s="1"/>
      <c r="D931" s="2"/>
    </row>
    <row r="932" spans="2:4" ht="13.2">
      <c r="B932" s="1"/>
      <c r="D932" s="2"/>
    </row>
    <row r="933" spans="2:4" ht="13.2">
      <c r="B933" s="1"/>
      <c r="D933" s="2"/>
    </row>
    <row r="934" spans="2:4" ht="13.2">
      <c r="B934" s="1"/>
      <c r="D934" s="2"/>
    </row>
    <row r="935" spans="2:4" ht="13.2">
      <c r="B935" s="1"/>
      <c r="D935" s="2"/>
    </row>
    <row r="936" spans="2:4" ht="13.2">
      <c r="B936" s="1"/>
      <c r="D936" s="2"/>
    </row>
    <row r="937" spans="2:4" ht="13.2">
      <c r="B937" s="1"/>
      <c r="D937" s="2"/>
    </row>
    <row r="938" spans="2:4" ht="13.2">
      <c r="B938" s="1"/>
      <c r="D938" s="2"/>
    </row>
    <row r="939" spans="2:4" ht="13.2">
      <c r="B939" s="1"/>
      <c r="D939" s="2"/>
    </row>
    <row r="940" spans="2:4" ht="13.2">
      <c r="B940" s="1"/>
      <c r="D940" s="2"/>
    </row>
    <row r="941" spans="2:4" ht="13.2">
      <c r="B941" s="1"/>
      <c r="D941" s="2"/>
    </row>
    <row r="942" spans="2:4" ht="13.2">
      <c r="B942" s="1"/>
      <c r="D942" s="2"/>
    </row>
    <row r="943" spans="2:4" ht="13.2">
      <c r="B943" s="1"/>
      <c r="D943" s="2"/>
    </row>
    <row r="944" spans="2:4" ht="13.2">
      <c r="B944" s="1"/>
      <c r="D944" s="2"/>
    </row>
    <row r="945" spans="2:4" ht="13.2">
      <c r="B945" s="1"/>
      <c r="D945" s="2"/>
    </row>
    <row r="946" spans="2:4" ht="13.2">
      <c r="B946" s="1"/>
      <c r="D946" s="2"/>
    </row>
    <row r="947" spans="2:4" ht="13.2">
      <c r="B947" s="1"/>
      <c r="D947" s="2"/>
    </row>
    <row r="948" spans="2:4" ht="13.2">
      <c r="B948" s="1"/>
      <c r="D948" s="2"/>
    </row>
    <row r="949" spans="2:4" ht="13.2">
      <c r="B949" s="1"/>
      <c r="D949" s="2"/>
    </row>
    <row r="950" spans="2:4" ht="13.2">
      <c r="B950" s="1"/>
      <c r="D950" s="2"/>
    </row>
    <row r="951" spans="2:4" ht="13.2">
      <c r="B951" s="1"/>
      <c r="D951" s="2"/>
    </row>
    <row r="952" spans="2:4" ht="13.2">
      <c r="B952" s="1"/>
      <c r="D952" s="2"/>
    </row>
    <row r="953" spans="2:4" ht="13.2">
      <c r="B953" s="1"/>
      <c r="D953" s="2"/>
    </row>
    <row r="954" spans="2:4" ht="13.2">
      <c r="B954" s="1"/>
      <c r="D954" s="2"/>
    </row>
    <row r="955" spans="2:4" ht="13.2">
      <c r="B955" s="1"/>
      <c r="D955" s="2"/>
    </row>
    <row r="956" spans="2:4" ht="13.2">
      <c r="B956" s="1"/>
      <c r="D956" s="2"/>
    </row>
    <row r="957" spans="2:4" ht="13.2">
      <c r="B957" s="1"/>
      <c r="D957" s="2"/>
    </row>
    <row r="958" spans="2:4" ht="13.2">
      <c r="B958" s="1"/>
      <c r="D958" s="2"/>
    </row>
    <row r="959" spans="2:4" ht="13.2">
      <c r="B959" s="1"/>
      <c r="D959" s="2"/>
    </row>
    <row r="960" spans="2:4" ht="13.2">
      <c r="B960" s="1"/>
      <c r="D960" s="2"/>
    </row>
    <row r="961" spans="2:4" ht="13.2">
      <c r="B961" s="1"/>
      <c r="D961" s="2"/>
    </row>
    <row r="962" spans="2:4" ht="13.2">
      <c r="B962" s="1"/>
      <c r="D962" s="2"/>
    </row>
    <row r="963" spans="2:4" ht="13.2">
      <c r="B963" s="1"/>
      <c r="D963" s="2"/>
    </row>
    <row r="964" spans="2:4" ht="13.2">
      <c r="B964" s="1"/>
      <c r="D964" s="2"/>
    </row>
    <row r="965" spans="2:4" ht="13.2">
      <c r="B965" s="1"/>
      <c r="D965" s="2"/>
    </row>
    <row r="966" spans="2:4" ht="13.2">
      <c r="B966" s="1"/>
      <c r="D966" s="2"/>
    </row>
    <row r="967" spans="2:4" ht="13.2">
      <c r="B967" s="1"/>
      <c r="D967" s="2"/>
    </row>
    <row r="968" spans="2:4" ht="13.2">
      <c r="B968" s="1"/>
      <c r="D968" s="2"/>
    </row>
    <row r="969" spans="2:4" ht="13.2">
      <c r="B969" s="1"/>
      <c r="D969" s="2"/>
    </row>
    <row r="970" spans="2:4" ht="13.2">
      <c r="B970" s="1"/>
      <c r="D970" s="2"/>
    </row>
    <row r="971" spans="2:4" ht="13.2">
      <c r="B971" s="1"/>
      <c r="D971" s="2"/>
    </row>
    <row r="972" spans="2:4" ht="13.2">
      <c r="B972" s="1"/>
      <c r="D972" s="2"/>
    </row>
    <row r="973" spans="2:4" ht="13.2">
      <c r="B973" s="1"/>
      <c r="D973" s="2"/>
    </row>
    <row r="974" spans="2:4" ht="13.2">
      <c r="B974" s="1"/>
      <c r="D974" s="2"/>
    </row>
    <row r="975" spans="2:4" ht="13.2">
      <c r="B975" s="1"/>
      <c r="D975" s="2"/>
    </row>
    <row r="976" spans="2:4" ht="13.2">
      <c r="B976" s="1"/>
      <c r="D976" s="2"/>
    </row>
    <row r="977" spans="2:4" ht="13.2">
      <c r="B977" s="1"/>
      <c r="D977" s="2"/>
    </row>
    <row r="978" spans="2:4" ht="13.2">
      <c r="B978" s="1"/>
      <c r="D978" s="2"/>
    </row>
    <row r="979" spans="2:4" ht="13.2">
      <c r="B979" s="1"/>
      <c r="D979" s="2"/>
    </row>
    <row r="980" spans="2:4" ht="13.2">
      <c r="B980" s="1"/>
      <c r="D980" s="2"/>
    </row>
    <row r="981" spans="2:4" ht="13.2">
      <c r="B981" s="1"/>
      <c r="D981" s="2"/>
    </row>
    <row r="982" spans="2:4" ht="13.2">
      <c r="B982" s="1"/>
      <c r="D982" s="2"/>
    </row>
    <row r="983" spans="2:4" ht="13.2">
      <c r="B983" s="1"/>
      <c r="D983" s="2"/>
    </row>
    <row r="984" spans="2:4" ht="13.2">
      <c r="B984" s="1"/>
      <c r="D984" s="2"/>
    </row>
    <row r="985" spans="2:4" ht="13.2">
      <c r="B985" s="1"/>
      <c r="D985" s="2"/>
    </row>
    <row r="986" spans="2:4" ht="13.2">
      <c r="B986" s="1"/>
      <c r="D986" s="2"/>
    </row>
    <row r="987" spans="2:4" ht="13.2">
      <c r="B987" s="1"/>
      <c r="D987" s="2"/>
    </row>
    <row r="988" spans="2:4" ht="13.2">
      <c r="B988" s="1"/>
      <c r="D988" s="2"/>
    </row>
    <row r="989" spans="2:4" ht="13.2">
      <c r="B989" s="1"/>
      <c r="D989" s="2"/>
    </row>
    <row r="990" spans="2:4" ht="13.2">
      <c r="B990" s="1"/>
      <c r="D990" s="2"/>
    </row>
    <row r="991" spans="2:4" ht="13.2">
      <c r="B991" s="1"/>
      <c r="D991" s="2"/>
    </row>
    <row r="992" spans="2:4" ht="13.2">
      <c r="B992" s="1"/>
      <c r="D992" s="2"/>
    </row>
    <row r="993" spans="2:4" ht="13.2">
      <c r="B993" s="1"/>
      <c r="D993" s="2"/>
    </row>
    <row r="994" spans="2:4" ht="13.2">
      <c r="B994" s="1"/>
      <c r="D994" s="2"/>
    </row>
    <row r="995" spans="2:4" ht="13.2">
      <c r="B995" s="1"/>
      <c r="D995" s="2"/>
    </row>
    <row r="996" spans="2:4" ht="13.2">
      <c r="B996" s="1"/>
      <c r="D996" s="2"/>
    </row>
    <row r="997" spans="2:4" ht="13.2">
      <c r="B997" s="1"/>
      <c r="D997" s="2"/>
    </row>
    <row r="998" spans="2:4" ht="13.2">
      <c r="B998" s="1"/>
      <c r="D998" s="2"/>
    </row>
    <row r="999" spans="2:4" ht="13.2">
      <c r="B999" s="1"/>
      <c r="D999" s="2"/>
    </row>
    <row r="1000" spans="2:4" ht="13.2">
      <c r="B1000" s="1"/>
      <c r="D1000" s="2"/>
    </row>
    <row r="1001" spans="2:4" ht="13.2">
      <c r="B1001" s="1"/>
      <c r="D1001" s="2"/>
    </row>
    <row r="1002" spans="2:4" ht="13.2">
      <c r="B1002" s="1"/>
      <c r="D1002" s="2"/>
    </row>
    <row r="1003" spans="2:4" ht="13.2">
      <c r="B1003" s="1"/>
      <c r="D1003" s="2"/>
    </row>
    <row r="1004" spans="2:4" ht="13.2">
      <c r="B1004" s="1"/>
      <c r="D1004" s="2"/>
    </row>
    <row r="1005" spans="2:4" ht="13.2">
      <c r="B1005" s="1"/>
      <c r="D1005" s="2"/>
    </row>
    <row r="1006" spans="2:4" ht="13.2">
      <c r="B1006" s="1"/>
      <c r="D1006" s="2"/>
    </row>
    <row r="1007" spans="2:4" ht="13.2">
      <c r="B1007" s="1"/>
      <c r="D1007" s="2"/>
    </row>
    <row r="1008" spans="2:4" ht="13.2">
      <c r="B1008" s="1"/>
      <c r="D1008" s="2"/>
    </row>
    <row r="1009" spans="2:4" ht="13.2">
      <c r="B1009" s="1"/>
      <c r="D1009" s="2"/>
    </row>
    <row r="1010" spans="2:4" ht="13.2">
      <c r="B1010" s="1"/>
      <c r="D1010" s="2"/>
    </row>
    <row r="1011" spans="2:4" ht="13.2">
      <c r="B1011" s="1"/>
      <c r="D1011" s="2"/>
    </row>
    <row r="1012" spans="2:4" ht="13.2">
      <c r="B1012" s="1"/>
      <c r="D1012" s="2"/>
    </row>
    <row r="1013" spans="2:4" ht="13.2">
      <c r="B1013" s="1"/>
      <c r="D1013" s="2"/>
    </row>
    <row r="1014" spans="2:4" ht="13.2">
      <c r="B1014" s="1"/>
      <c r="D1014" s="2"/>
    </row>
    <row r="1015" spans="2:4" ht="13.2">
      <c r="B1015" s="1"/>
      <c r="D1015" s="2"/>
    </row>
    <row r="1016" spans="2:4" ht="13.2">
      <c r="B1016" s="1"/>
      <c r="D1016" s="2"/>
    </row>
    <row r="1017" spans="2:4" ht="13.2">
      <c r="B1017" s="1"/>
      <c r="D1017" s="2"/>
    </row>
    <row r="1018" spans="2:4" ht="13.2">
      <c r="B1018" s="1"/>
      <c r="D1018" s="2"/>
    </row>
    <row r="1019" spans="2:4" ht="13.2">
      <c r="B1019" s="1"/>
      <c r="D1019" s="2"/>
    </row>
    <row r="1020" spans="2:4" ht="13.2">
      <c r="B1020" s="1"/>
      <c r="D1020" s="2"/>
    </row>
    <row r="1021" spans="2:4" ht="13.2">
      <c r="B1021" s="1"/>
      <c r="D1021" s="2"/>
    </row>
    <row r="1022" spans="2:4" ht="13.2">
      <c r="B1022" s="1"/>
      <c r="D1022" s="2"/>
    </row>
    <row r="1023" spans="2:4" ht="13.2">
      <c r="B1023" s="1"/>
      <c r="D1023" s="2"/>
    </row>
    <row r="1024" spans="2:4" ht="13.2">
      <c r="B1024" s="1"/>
      <c r="D1024" s="2"/>
    </row>
    <row r="1025" spans="2:4" ht="13.2">
      <c r="B1025" s="1"/>
      <c r="D1025" s="2"/>
    </row>
    <row r="1026" spans="2:4" ht="13.2">
      <c r="B1026" s="1"/>
      <c r="D1026" s="2"/>
    </row>
    <row r="1027" spans="2:4" ht="13.2">
      <c r="B1027" s="1"/>
      <c r="D1027" s="2"/>
    </row>
    <row r="1028" spans="2:4" ht="13.2">
      <c r="B1028" s="1"/>
      <c r="D1028" s="2"/>
    </row>
    <row r="1029" spans="2:4" ht="13.2">
      <c r="B1029" s="1"/>
      <c r="D1029" s="2"/>
    </row>
    <row r="1030" spans="2:4" ht="13.2">
      <c r="B1030" s="1"/>
      <c r="D1030" s="2"/>
    </row>
    <row r="1031" spans="2:4" ht="13.2">
      <c r="B1031" s="1"/>
      <c r="D1031" s="2"/>
    </row>
    <row r="1032" spans="2:4" ht="13.2">
      <c r="B1032" s="1"/>
      <c r="D1032" s="2"/>
    </row>
    <row r="1033" spans="2:4" ht="13.2">
      <c r="B1033" s="1"/>
      <c r="D1033" s="2"/>
    </row>
    <row r="1034" spans="2:4" ht="13.2">
      <c r="B1034" s="1"/>
      <c r="D1034" s="2"/>
    </row>
    <row r="1035" spans="2:4" ht="13.2">
      <c r="B1035" s="1"/>
      <c r="D1035" s="2"/>
    </row>
    <row r="1036" spans="2:4" ht="13.2">
      <c r="B1036" s="1"/>
      <c r="D1036" s="2"/>
    </row>
    <row r="1037" spans="2:4" ht="13.2">
      <c r="B1037" s="1"/>
      <c r="D1037" s="2"/>
    </row>
    <row r="1038" spans="2:4" ht="13.2">
      <c r="B1038" s="1"/>
      <c r="D1038" s="2"/>
    </row>
    <row r="1039" spans="2:4" ht="13.2">
      <c r="B1039" s="1"/>
      <c r="D1039" s="2"/>
    </row>
    <row r="1040" spans="2:4" ht="13.2">
      <c r="B1040" s="1"/>
      <c r="D1040" s="2"/>
    </row>
    <row r="1041" spans="2:4" ht="13.2">
      <c r="B1041" s="1"/>
      <c r="D1041" s="2"/>
    </row>
    <row r="1042" spans="2:4" ht="13.2">
      <c r="B1042" s="1"/>
      <c r="D1042" s="2"/>
    </row>
    <row r="1043" spans="2:4" ht="13.2">
      <c r="B1043" s="1"/>
      <c r="D1043" s="2"/>
    </row>
    <row r="1044" spans="2:4" ht="13.2">
      <c r="B1044" s="1"/>
      <c r="D1044" s="2"/>
    </row>
    <row r="1045" spans="2:4" ht="13.2">
      <c r="B1045" s="1"/>
      <c r="D1045" s="2"/>
    </row>
    <row r="1046" spans="2:4" ht="13.2">
      <c r="B1046" s="1"/>
      <c r="D1046" s="2"/>
    </row>
    <row r="1047" spans="2:4" ht="13.2">
      <c r="B1047" s="1"/>
      <c r="D1047" s="2"/>
    </row>
    <row r="1048" spans="2:4" ht="13.2">
      <c r="B1048" s="1"/>
      <c r="D1048" s="2"/>
    </row>
    <row r="1049" spans="2:4" ht="13.2">
      <c r="B1049" s="1"/>
      <c r="D1049" s="2"/>
    </row>
    <row r="1050" spans="2:4" ht="13.2">
      <c r="B1050" s="1"/>
      <c r="D1050" s="2"/>
    </row>
    <row r="1051" spans="2:4" ht="13.2">
      <c r="B1051" s="1"/>
      <c r="D1051" s="2"/>
    </row>
    <row r="1052" spans="2:4" ht="13.2">
      <c r="B1052" s="1"/>
      <c r="D1052" s="2"/>
    </row>
    <row r="1053" spans="2:4" ht="13.2">
      <c r="B1053" s="1"/>
      <c r="D1053" s="2"/>
    </row>
    <row r="1054" spans="2:4" ht="13.2">
      <c r="B1054" s="1"/>
      <c r="D1054" s="2"/>
    </row>
    <row r="1055" spans="2:4" ht="13.2">
      <c r="B1055" s="1"/>
      <c r="D1055" s="2"/>
    </row>
    <row r="1056" spans="2:4" ht="13.2">
      <c r="B1056" s="1"/>
      <c r="D1056" s="2"/>
    </row>
    <row r="1057" spans="2:4" ht="13.2">
      <c r="B1057" s="1"/>
      <c r="D1057" s="2"/>
    </row>
    <row r="1058" spans="2:4" ht="13.2">
      <c r="B1058" s="1"/>
      <c r="D1058" s="2"/>
    </row>
    <row r="1059" spans="2:4" ht="13.2">
      <c r="B1059" s="1"/>
      <c r="D1059" s="2"/>
    </row>
    <row r="1060" spans="2:4" ht="13.2">
      <c r="B1060" s="1"/>
      <c r="D1060" s="2"/>
    </row>
    <row r="1061" spans="2:4" ht="13.2">
      <c r="B1061" s="1"/>
      <c r="D1061" s="2"/>
    </row>
    <row r="1062" spans="2:4" ht="13.2">
      <c r="B1062" s="1"/>
      <c r="D1062" s="2"/>
    </row>
    <row r="1063" spans="2:4" ht="13.2">
      <c r="B1063" s="1"/>
      <c r="D1063" s="2"/>
    </row>
    <row r="1064" spans="2:4" ht="13.2">
      <c r="B1064" s="1"/>
      <c r="D1064" s="2"/>
    </row>
    <row r="1065" spans="2:4" ht="13.2">
      <c r="B1065" s="1"/>
      <c r="D1065" s="2"/>
    </row>
    <row r="1066" spans="2:4" ht="13.2">
      <c r="B1066" s="1"/>
      <c r="D1066" s="2"/>
    </row>
    <row r="1067" spans="2:4" ht="13.2">
      <c r="B1067" s="1"/>
      <c r="D1067" s="2"/>
    </row>
    <row r="1068" spans="2:4" ht="13.2">
      <c r="B1068" s="1"/>
      <c r="D1068" s="2"/>
    </row>
    <row r="1069" spans="2:4" ht="13.2">
      <c r="B1069" s="1"/>
      <c r="D1069" s="2"/>
    </row>
    <row r="1070" spans="2:4" ht="13.2">
      <c r="B1070" s="1"/>
      <c r="D1070" s="2"/>
    </row>
    <row r="1071" spans="2:4" ht="13.2">
      <c r="B1071" s="1"/>
      <c r="D1071" s="2"/>
    </row>
    <row r="1072" spans="2:4" ht="13.2">
      <c r="B1072" s="1"/>
      <c r="D1072" s="2"/>
    </row>
    <row r="1073" spans="2:4" ht="13.2">
      <c r="B1073" s="1"/>
      <c r="D1073" s="2"/>
    </row>
    <row r="1074" spans="2:4" ht="13.2">
      <c r="B1074" s="1"/>
      <c r="D1074" s="2"/>
    </row>
    <row r="1075" spans="2:4" ht="13.2">
      <c r="B1075" s="1"/>
      <c r="D1075" s="2"/>
    </row>
    <row r="1076" spans="2:4" ht="13.2">
      <c r="B1076" s="1"/>
      <c r="D1076" s="2"/>
    </row>
    <row r="1077" spans="2:4" ht="13.2">
      <c r="B1077" s="1"/>
      <c r="D1077" s="2"/>
    </row>
    <row r="1078" spans="2:4" ht="13.2">
      <c r="B1078" s="1"/>
      <c r="D1078" s="2"/>
    </row>
    <row r="1079" spans="2:4" ht="13.2">
      <c r="B1079" s="1"/>
      <c r="D1079" s="2"/>
    </row>
    <row r="1080" spans="2:4" ht="13.2">
      <c r="B1080" s="1"/>
      <c r="D1080" s="2"/>
    </row>
    <row r="1081" spans="2:4" ht="13.2">
      <c r="B1081" s="1"/>
      <c r="D1081" s="2"/>
    </row>
    <row r="1082" spans="2:4" ht="13.2">
      <c r="B1082" s="1"/>
      <c r="D1082" s="2"/>
    </row>
    <row r="1083" spans="2:4" ht="13.2">
      <c r="B1083" s="1"/>
      <c r="D1083" s="2"/>
    </row>
    <row r="1084" spans="2:4" ht="13.2">
      <c r="B1084" s="1"/>
      <c r="D1084" s="2"/>
    </row>
    <row r="1085" spans="2:4" ht="13.2">
      <c r="B1085" s="1"/>
      <c r="D1085" s="2"/>
    </row>
    <row r="1086" spans="2:4" ht="13.2">
      <c r="B1086" s="1"/>
      <c r="D1086" s="2"/>
    </row>
    <row r="1087" spans="2:4" ht="13.2">
      <c r="B1087" s="1"/>
      <c r="D1087" s="2"/>
    </row>
    <row r="1088" spans="2:4" ht="13.2">
      <c r="B1088" s="1"/>
      <c r="D1088" s="2"/>
    </row>
    <row r="1089" spans="2:4" ht="13.2">
      <c r="B1089" s="1"/>
      <c r="D1089" s="2"/>
    </row>
    <row r="1090" spans="2:4" ht="13.2">
      <c r="B1090" s="1"/>
      <c r="D1090" s="2"/>
    </row>
    <row r="1091" spans="2:4" ht="13.2">
      <c r="B1091" s="1"/>
      <c r="D1091" s="2"/>
    </row>
    <row r="1092" spans="2:4" ht="13.2">
      <c r="B1092" s="1"/>
      <c r="D1092" s="2"/>
    </row>
    <row r="1093" spans="2:4" ht="13.2">
      <c r="B1093" s="1"/>
      <c r="D1093" s="2"/>
    </row>
    <row r="1094" spans="2:4" ht="13.2">
      <c r="B1094" s="1"/>
      <c r="D1094" s="2"/>
    </row>
    <row r="1095" spans="2:4" ht="13.2">
      <c r="B1095" s="1"/>
      <c r="D1095" s="2"/>
    </row>
    <row r="1096" spans="2:4" ht="13.2">
      <c r="B1096" s="1"/>
      <c r="D1096" s="2"/>
    </row>
    <row r="1097" spans="2:4" ht="13.2">
      <c r="B1097" s="1"/>
      <c r="D1097" s="2"/>
    </row>
    <row r="1098" spans="2:4" ht="13.2">
      <c r="B1098" s="1"/>
      <c r="D1098" s="2"/>
    </row>
    <row r="1099" spans="2:4" ht="13.2">
      <c r="B1099" s="1"/>
      <c r="D1099" s="2"/>
    </row>
    <row r="1100" spans="2:4" ht="13.2">
      <c r="B1100" s="1"/>
      <c r="D1100" s="2"/>
    </row>
    <row r="1101" spans="2:4" ht="13.2">
      <c r="B1101" s="1"/>
      <c r="D1101" s="2"/>
    </row>
    <row r="1102" spans="2:4" ht="13.2">
      <c r="B1102" s="1"/>
      <c r="D1102" s="2"/>
    </row>
    <row r="1103" spans="2:4" ht="13.2">
      <c r="B1103" s="1"/>
      <c r="D1103" s="2"/>
    </row>
    <row r="1104" spans="2:4" ht="13.2">
      <c r="B1104" s="1"/>
      <c r="D1104" s="2"/>
    </row>
    <row r="1105" spans="2:4" ht="13.2">
      <c r="B1105" s="1"/>
      <c r="D1105" s="2"/>
    </row>
    <row r="1106" spans="2:4" ht="13.2">
      <c r="B1106" s="1"/>
      <c r="D1106" s="2"/>
    </row>
    <row r="1107" spans="2:4" ht="13.2">
      <c r="B1107" s="1"/>
      <c r="D1107" s="2"/>
    </row>
    <row r="1108" spans="2:4" ht="13.2">
      <c r="B1108" s="1"/>
      <c r="D1108" s="2"/>
    </row>
    <row r="1109" spans="2:4" ht="13.2">
      <c r="B1109" s="1"/>
      <c r="D1109" s="2"/>
    </row>
    <row r="1110" spans="2:4" ht="13.2">
      <c r="B1110" s="1"/>
      <c r="D1110" s="2"/>
    </row>
    <row r="1111" spans="2:4" ht="13.2">
      <c r="B1111" s="1"/>
      <c r="D1111" s="2"/>
    </row>
    <row r="1112" spans="2:4" ht="13.2">
      <c r="B1112" s="1"/>
      <c r="D1112" s="2"/>
    </row>
    <row r="1113" spans="2:4" ht="13.2">
      <c r="B1113" s="1"/>
      <c r="D1113" s="2"/>
    </row>
    <row r="1114" spans="2:4" ht="13.2">
      <c r="B1114" s="1"/>
      <c r="D1114" s="2"/>
    </row>
    <row r="1115" spans="2:4" ht="13.2">
      <c r="B1115" s="1"/>
      <c r="D1115" s="2"/>
    </row>
    <row r="1116" spans="2:4" ht="13.2">
      <c r="B1116" s="1"/>
      <c r="D1116" s="2"/>
    </row>
    <row r="1117" spans="2:4" ht="13.2">
      <c r="B1117" s="1"/>
      <c r="D1117" s="2"/>
    </row>
    <row r="1118" spans="2:4" ht="13.2">
      <c r="B1118" s="1"/>
      <c r="D1118" s="2"/>
    </row>
    <row r="1119" spans="2:4" ht="13.2">
      <c r="B1119" s="1"/>
      <c r="D1119" s="2"/>
    </row>
    <row r="1120" spans="2:4" ht="13.2">
      <c r="B1120" s="1"/>
      <c r="D1120" s="2"/>
    </row>
    <row r="1121" spans="2:4" ht="13.2">
      <c r="B1121" s="1"/>
      <c r="D1121" s="2"/>
    </row>
    <row r="1122" spans="2:4" ht="13.2">
      <c r="B1122" s="1"/>
      <c r="D1122" s="2"/>
    </row>
    <row r="1123" spans="2:4" ht="13.2">
      <c r="B1123" s="1"/>
      <c r="D1123" s="2"/>
    </row>
    <row r="1124" spans="2:4" ht="13.2">
      <c r="B1124" s="1"/>
      <c r="D1124" s="2"/>
    </row>
    <row r="1125" spans="2:4" ht="13.2">
      <c r="B1125" s="1"/>
      <c r="D1125" s="2"/>
    </row>
    <row r="1126" spans="2:4" ht="13.2">
      <c r="B1126" s="1"/>
      <c r="D1126" s="2"/>
    </row>
    <row r="1127" spans="2:4" ht="13.2">
      <c r="B1127" s="1"/>
      <c r="D1127" s="2"/>
    </row>
    <row r="1128" spans="2:4" ht="13.2">
      <c r="B1128" s="1"/>
      <c r="D1128" s="2"/>
    </row>
    <row r="1129" spans="2:4" ht="13.2">
      <c r="B1129" s="1"/>
      <c r="D1129" s="2"/>
    </row>
    <row r="1130" spans="2:4" ht="13.2">
      <c r="B1130" s="1"/>
      <c r="D1130" s="2"/>
    </row>
    <row r="1131" spans="2:4" ht="13.2">
      <c r="B1131" s="1"/>
      <c r="D1131" s="2"/>
    </row>
    <row r="1132" spans="2:4" ht="13.2">
      <c r="B1132" s="1"/>
      <c r="D1132" s="2"/>
    </row>
    <row r="1133" spans="2:4" ht="13.2">
      <c r="B1133" s="1"/>
      <c r="D1133" s="2"/>
    </row>
    <row r="1134" spans="2:4" ht="13.2">
      <c r="B1134" s="1"/>
      <c r="D1134" s="2"/>
    </row>
    <row r="1135" spans="2:4" ht="13.2">
      <c r="B1135" s="1"/>
      <c r="D1135" s="2"/>
    </row>
    <row r="1136" spans="2:4" ht="13.2">
      <c r="B1136" s="1"/>
      <c r="D1136" s="2"/>
    </row>
    <row r="1137" spans="2:4" ht="13.2">
      <c r="B1137" s="1"/>
      <c r="D1137" s="2"/>
    </row>
    <row r="1138" spans="2:4" ht="13.2">
      <c r="B1138" s="1"/>
      <c r="D1138" s="2"/>
    </row>
    <row r="1139" spans="2:4" ht="13.2">
      <c r="B1139" s="1"/>
      <c r="D1139" s="2"/>
    </row>
    <row r="1140" spans="2:4" ht="13.2">
      <c r="B1140" s="1"/>
      <c r="D1140" s="2"/>
    </row>
    <row r="1141" spans="2:4" ht="13.2">
      <c r="B1141" s="1"/>
      <c r="D1141" s="2"/>
    </row>
    <row r="1142" spans="2:4" ht="13.2">
      <c r="B1142" s="1"/>
      <c r="D1142" s="2"/>
    </row>
    <row r="1143" spans="2:4" ht="13.2">
      <c r="B1143" s="1"/>
      <c r="D1143" s="2"/>
    </row>
    <row r="1144" spans="2:4" ht="13.2">
      <c r="B1144" s="1"/>
      <c r="D1144" s="2"/>
    </row>
    <row r="1145" spans="2:4" ht="13.2">
      <c r="B1145" s="1"/>
      <c r="D1145" s="2"/>
    </row>
    <row r="1146" spans="2:4" ht="13.2">
      <c r="B1146" s="1"/>
      <c r="D1146" s="2"/>
    </row>
    <row r="1147" spans="2:4" ht="13.2">
      <c r="B1147" s="1"/>
      <c r="D1147" s="2"/>
    </row>
    <row r="1148" spans="2:4" ht="13.2">
      <c r="B1148" s="1"/>
      <c r="D1148" s="2"/>
    </row>
    <row r="1149" spans="2:4" ht="13.2">
      <c r="B1149" s="1"/>
      <c r="D1149" s="2"/>
    </row>
    <row r="1150" spans="2:4" ht="13.2">
      <c r="B1150" s="1"/>
      <c r="D1150" s="2"/>
    </row>
    <row r="1151" spans="2:4" ht="13.2">
      <c r="B1151" s="1"/>
      <c r="D1151" s="2"/>
    </row>
    <row r="1152" spans="2:4" ht="13.2">
      <c r="B1152" s="1"/>
      <c r="D1152" s="2"/>
    </row>
    <row r="1153" spans="2:4" ht="13.2">
      <c r="B1153" s="1"/>
      <c r="D1153" s="2"/>
    </row>
    <row r="1154" spans="2:4" ht="13.2">
      <c r="B1154" s="1"/>
      <c r="D1154" s="2"/>
    </row>
    <row r="1155" spans="2:4" ht="13.2">
      <c r="B1155" s="1"/>
      <c r="D1155" s="2"/>
    </row>
    <row r="1156" spans="2:4" ht="13.2">
      <c r="B1156" s="1"/>
      <c r="D1156" s="2"/>
    </row>
    <row r="1157" spans="2:4" ht="13.2">
      <c r="B1157" s="1"/>
      <c r="D1157" s="2"/>
    </row>
    <row r="1158" spans="2:4" ht="13.2">
      <c r="B1158" s="1"/>
      <c r="D1158" s="2"/>
    </row>
    <row r="1159" spans="2:4" ht="13.2">
      <c r="B1159" s="1"/>
      <c r="D1159" s="2"/>
    </row>
    <row r="1160" spans="2:4" ht="13.2">
      <c r="B1160" s="1"/>
      <c r="D1160" s="2"/>
    </row>
    <row r="1161" spans="2:4" ht="13.2">
      <c r="B1161" s="1"/>
      <c r="D1161" s="2"/>
    </row>
    <row r="1162" spans="2:4" ht="13.2">
      <c r="B1162" s="1"/>
      <c r="D1162" s="2"/>
    </row>
    <row r="1163" spans="2:4" ht="13.2">
      <c r="B1163" s="1"/>
      <c r="D1163" s="2"/>
    </row>
    <row r="1164" spans="2:4" ht="13.2">
      <c r="B1164" s="1"/>
      <c r="D1164" s="2"/>
    </row>
    <row r="1165" spans="2:4" ht="13.2">
      <c r="B1165" s="1"/>
      <c r="D1165" s="2"/>
    </row>
    <row r="1166" spans="2:4" ht="13.2">
      <c r="B1166" s="1"/>
      <c r="D1166" s="2"/>
    </row>
  </sheetData>
  <mergeCells count="8">
    <mergeCell ref="B115:F115"/>
    <mergeCell ref="B9:F9"/>
    <mergeCell ref="B3:G3"/>
    <mergeCell ref="B105:F105"/>
    <mergeCell ref="B113:F113"/>
    <mergeCell ref="B96:F96"/>
    <mergeCell ref="B4:D4"/>
    <mergeCell ref="B19:F19"/>
  </mergeCells>
  <hyperlinks>
    <hyperlink ref="F11" r:id="rId1" xr:uid="{00000000-0004-0000-0000-000000000000}"/>
    <hyperlink ref="F12" r:id="rId2" xr:uid="{00000000-0004-0000-0000-000001000000}"/>
    <hyperlink ref="F13" r:id="rId3" xr:uid="{00000000-0004-0000-0000-000002000000}"/>
    <hyperlink ref="F14" r:id="rId4" xr:uid="{00000000-0004-0000-0000-000003000000}"/>
    <hyperlink ref="F15" r:id="rId5" xr:uid="{00000000-0004-0000-0000-000004000000}"/>
    <hyperlink ref="F16" r:id="rId6" xr:uid="{00000000-0004-0000-0000-000005000000}"/>
    <hyperlink ref="F17" r:id="rId7" xr:uid="{00000000-0004-0000-0000-000006000000}"/>
    <hyperlink ref="F21" r:id="rId8" xr:uid="{00000000-0004-0000-0000-000007000000}"/>
    <hyperlink ref="F22" r:id="rId9" xr:uid="{00000000-0004-0000-0000-000008000000}"/>
    <hyperlink ref="F23" r:id="rId10" xr:uid="{00000000-0004-0000-0000-000009000000}"/>
    <hyperlink ref="F24" r:id="rId11" xr:uid="{00000000-0004-0000-0000-00000A000000}"/>
    <hyperlink ref="F25" r:id="rId12" xr:uid="{00000000-0004-0000-0000-00000B000000}"/>
    <hyperlink ref="F26" r:id="rId13" xr:uid="{00000000-0004-0000-0000-00000C000000}"/>
    <hyperlink ref="F27" r:id="rId14" location="!?searchField=All&amp;showOnly=openAccess&amp;sortBy=relevance&amp;offset=0&amp;pageSize=0" xr:uid="{00000000-0004-0000-0000-00000D000000}"/>
    <hyperlink ref="F28" r:id="rId15" xr:uid="{00000000-0004-0000-0000-00000E000000}"/>
    <hyperlink ref="F29" r:id="rId16" xr:uid="{00000000-0004-0000-0000-00000F000000}"/>
    <hyperlink ref="F30" r:id="rId17" xr:uid="{00000000-0004-0000-0000-000010000000}"/>
    <hyperlink ref="F31" r:id="rId18" xr:uid="{00000000-0004-0000-0000-000011000000}"/>
    <hyperlink ref="F32" r:id="rId19" xr:uid="{00000000-0004-0000-0000-000012000000}"/>
    <hyperlink ref="F33" r:id="rId20" xr:uid="{00000000-0004-0000-0000-000013000000}"/>
    <hyperlink ref="F34" r:id="rId21" xr:uid="{00000000-0004-0000-0000-000014000000}"/>
    <hyperlink ref="F35" r:id="rId22" xr:uid="{00000000-0004-0000-0000-000015000000}"/>
    <hyperlink ref="F36" r:id="rId23" xr:uid="{00000000-0004-0000-0000-000016000000}"/>
    <hyperlink ref="F37" r:id="rId24" xr:uid="{00000000-0004-0000-0000-000017000000}"/>
    <hyperlink ref="F38" r:id="rId25" xr:uid="{00000000-0004-0000-0000-000018000000}"/>
    <hyperlink ref="F39" r:id="rId26" xr:uid="{00000000-0004-0000-0000-000019000000}"/>
    <hyperlink ref="F40" r:id="rId27" xr:uid="{00000000-0004-0000-0000-00001A000000}"/>
    <hyperlink ref="F41" r:id="rId28" xr:uid="{00000000-0004-0000-0000-00001B000000}"/>
    <hyperlink ref="F42" r:id="rId29" xr:uid="{00000000-0004-0000-0000-00001C000000}"/>
    <hyperlink ref="F43" r:id="rId30" xr:uid="{00000000-0004-0000-0000-00001D000000}"/>
    <hyperlink ref="F44" r:id="rId31" xr:uid="{00000000-0004-0000-0000-00001E000000}"/>
    <hyperlink ref="F45" r:id="rId32" xr:uid="{00000000-0004-0000-0000-00001F000000}"/>
    <hyperlink ref="F46" r:id="rId33" xr:uid="{00000000-0004-0000-0000-000020000000}"/>
    <hyperlink ref="F47" r:id="rId34" xr:uid="{00000000-0004-0000-0000-000021000000}"/>
    <hyperlink ref="F48" r:id="rId35" xr:uid="{00000000-0004-0000-0000-000022000000}"/>
    <hyperlink ref="F49" r:id="rId36" xr:uid="{00000000-0004-0000-0000-000023000000}"/>
    <hyperlink ref="F50" r:id="rId37" xr:uid="{00000000-0004-0000-0000-000024000000}"/>
    <hyperlink ref="B51" r:id="rId38" xr:uid="{00000000-0004-0000-0000-000025000000}"/>
    <hyperlink ref="F51" r:id="rId39" xr:uid="{00000000-0004-0000-0000-000026000000}"/>
    <hyperlink ref="F52" r:id="rId40" xr:uid="{00000000-0004-0000-0000-000027000000}"/>
    <hyperlink ref="F53" r:id="rId41" xr:uid="{00000000-0004-0000-0000-000028000000}"/>
    <hyperlink ref="F54" r:id="rId42" xr:uid="{00000000-0004-0000-0000-000029000000}"/>
    <hyperlink ref="F55" r:id="rId43" xr:uid="{00000000-0004-0000-0000-00002A000000}"/>
    <hyperlink ref="F56" r:id="rId44" xr:uid="{00000000-0004-0000-0000-00002B000000}"/>
    <hyperlink ref="F57" r:id="rId45" xr:uid="{00000000-0004-0000-0000-00002C000000}"/>
    <hyperlink ref="B59" r:id="rId46" xr:uid="{00000000-0004-0000-0000-00002D000000}"/>
    <hyperlink ref="F59" r:id="rId47" xr:uid="{00000000-0004-0000-0000-00002E000000}"/>
    <hyperlink ref="F60" r:id="rId48" xr:uid="{00000000-0004-0000-0000-00002F000000}"/>
    <hyperlink ref="F61" r:id="rId49" xr:uid="{00000000-0004-0000-0000-000030000000}"/>
    <hyperlink ref="F62" r:id="rId50" xr:uid="{00000000-0004-0000-0000-000031000000}"/>
    <hyperlink ref="B63" r:id="rId51" xr:uid="{00000000-0004-0000-0000-000032000000}"/>
    <hyperlink ref="F63" r:id="rId52" xr:uid="{00000000-0004-0000-0000-000033000000}"/>
    <hyperlink ref="F64" r:id="rId53" xr:uid="{00000000-0004-0000-0000-000034000000}"/>
    <hyperlink ref="F65" r:id="rId54" xr:uid="{00000000-0004-0000-0000-000035000000}"/>
    <hyperlink ref="F66" r:id="rId55" xr:uid="{00000000-0004-0000-0000-000036000000}"/>
    <hyperlink ref="F67" r:id="rId56" xr:uid="{00000000-0004-0000-0000-000037000000}"/>
    <hyperlink ref="F68" r:id="rId57" xr:uid="{00000000-0004-0000-0000-000038000000}"/>
    <hyperlink ref="F69" r:id="rId58" xr:uid="{00000000-0004-0000-0000-000039000000}"/>
    <hyperlink ref="F70" r:id="rId59" xr:uid="{00000000-0004-0000-0000-00003A000000}"/>
    <hyperlink ref="F71" r:id="rId60" xr:uid="{00000000-0004-0000-0000-00003B000000}"/>
    <hyperlink ref="F72" r:id="rId61" xr:uid="{00000000-0004-0000-0000-00003C000000}"/>
    <hyperlink ref="F73" r:id="rId62" xr:uid="{00000000-0004-0000-0000-00003D000000}"/>
    <hyperlink ref="B74" r:id="rId63" xr:uid="{00000000-0004-0000-0000-00003E000000}"/>
    <hyperlink ref="F74" r:id="rId64" xr:uid="{00000000-0004-0000-0000-00003F000000}"/>
    <hyperlink ref="F75" r:id="rId65" xr:uid="{00000000-0004-0000-0000-000040000000}"/>
    <hyperlink ref="F76" r:id="rId66" xr:uid="{00000000-0004-0000-0000-000041000000}"/>
    <hyperlink ref="F77" r:id="rId67" xr:uid="{00000000-0004-0000-0000-000042000000}"/>
    <hyperlink ref="B78" r:id="rId68" xr:uid="{00000000-0004-0000-0000-000043000000}"/>
    <hyperlink ref="F78" r:id="rId69" xr:uid="{00000000-0004-0000-0000-000044000000}"/>
    <hyperlink ref="B79" r:id="rId70" xr:uid="{00000000-0004-0000-0000-000045000000}"/>
    <hyperlink ref="F79" r:id="rId71" xr:uid="{00000000-0004-0000-0000-000046000000}"/>
    <hyperlink ref="F80" r:id="rId72" xr:uid="{00000000-0004-0000-0000-000047000000}"/>
    <hyperlink ref="F81" r:id="rId73" xr:uid="{00000000-0004-0000-0000-000048000000}"/>
    <hyperlink ref="F84" r:id="rId74" xr:uid="{00000000-0004-0000-0000-000049000000}"/>
    <hyperlink ref="F85" r:id="rId75" xr:uid="{00000000-0004-0000-0000-00004A000000}"/>
    <hyperlink ref="F86" r:id="rId76" xr:uid="{00000000-0004-0000-0000-00004B000000}"/>
    <hyperlink ref="F87" r:id="rId77" xr:uid="{00000000-0004-0000-0000-00004C000000}"/>
    <hyperlink ref="F88" r:id="rId78" xr:uid="{00000000-0004-0000-0000-00004D000000}"/>
    <hyperlink ref="F89" r:id="rId79" xr:uid="{00000000-0004-0000-0000-00004E000000}"/>
    <hyperlink ref="F90" r:id="rId80" xr:uid="{00000000-0004-0000-0000-00004F000000}"/>
    <hyperlink ref="F91" r:id="rId81" xr:uid="{00000000-0004-0000-0000-000050000000}"/>
    <hyperlink ref="F92" r:id="rId82" xr:uid="{00000000-0004-0000-0000-000051000000}"/>
    <hyperlink ref="F93" r:id="rId83" xr:uid="{00000000-0004-0000-0000-000052000000}"/>
    <hyperlink ref="F94" r:id="rId84" xr:uid="{00000000-0004-0000-0000-000053000000}"/>
    <hyperlink ref="F95" r:id="rId85" xr:uid="{00000000-0004-0000-0000-000054000000}"/>
    <hyperlink ref="F98" r:id="rId86" xr:uid="{00000000-0004-0000-0000-000055000000}"/>
    <hyperlink ref="F99" r:id="rId87" xr:uid="{00000000-0004-0000-0000-000056000000}"/>
    <hyperlink ref="F100" r:id="rId88" xr:uid="{00000000-0004-0000-0000-000057000000}"/>
    <hyperlink ref="F101" r:id="rId89" xr:uid="{00000000-0004-0000-0000-000058000000}"/>
    <hyperlink ref="F102" r:id="rId90" xr:uid="{00000000-0004-0000-0000-000059000000}"/>
    <hyperlink ref="F103" r:id="rId91" xr:uid="{00000000-0004-0000-0000-00005A000000}"/>
    <hyperlink ref="F106" r:id="rId92" xr:uid="{00000000-0004-0000-0000-00005B000000}"/>
    <hyperlink ref="F107" r:id="rId93" xr:uid="{00000000-0004-0000-0000-00005C000000}"/>
    <hyperlink ref="F108" r:id="rId94" xr:uid="{00000000-0004-0000-0000-00005D000000}"/>
    <hyperlink ref="F109" r:id="rId95" xr:uid="{00000000-0004-0000-0000-00005E000000}"/>
    <hyperlink ref="F110" r:id="rId96" xr:uid="{00000000-0004-0000-0000-00005F000000}"/>
    <hyperlink ref="F111" r:id="rId97" xr:uid="{00000000-0004-0000-0000-000060000000}"/>
    <hyperlink ref="F112" r:id="rId98" xr:uid="{00000000-0004-0000-0000-000061000000}"/>
    <hyperlink ref="F116" r:id="rId99" xr:uid="{00000000-0004-0000-0000-000062000000}"/>
    <hyperlink ref="F117" r:id="rId100" xr:uid="{00000000-0004-0000-0000-000063000000}"/>
  </hyperlinks>
  <pageMargins left="0.75" right="0.75" top="1" bottom="1" header="0.5" footer="0.5"/>
  <drawing r:id="rId10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Open Media Resources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Pranjal Suthar</cp:lastModifiedBy>
  <dcterms:created xsi:type="dcterms:W3CDTF">2026-05-17T10:46:09Z</dcterms:created>
  <dcterms:modified xsi:type="dcterms:W3CDTF">2026-05-17T10:48:17Z</dcterms:modified>
</cp:coreProperties>
</file>